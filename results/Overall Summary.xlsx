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MSc Natural Language Processing\Natural Language Understanding\Seminar\Project\NLP_Seminar_Project\results\"/>
    </mc:Choice>
  </mc:AlternateContent>
  <xr:revisionPtr revIDLastSave="0" documentId="13_ncr:1_{59F49CA1-FCD2-4EB7-86B6-24BCA7BB2046}" xr6:coauthVersionLast="47" xr6:coauthVersionMax="47" xr10:uidLastSave="{00000000-0000-0000-0000-000000000000}"/>
  <bookViews>
    <workbookView xWindow="-120" yWindow="-120" windowWidth="29040" windowHeight="15720" xr2:uid="{2A56F453-2D87-4723-A954-7E2941967FEC}"/>
  </bookViews>
  <sheets>
    <sheet name="Overall Summary" sheetId="1" r:id="rId1"/>
    <sheet name="tbl_1" sheetId="2" r:id="rId2"/>
    <sheet name="tbl_2" sheetId="3" r:id="rId3"/>
    <sheet name="tbl_3" sheetId="4" r:id="rId4"/>
    <sheet name="tbl_4" sheetId="5" r:id="rId5"/>
    <sheet name="tbl_5" sheetId="6" r:id="rId6"/>
  </sheets>
  <definedNames>
    <definedName name="_xlnm.Print_Area" localSheetId="0">'Overall Summary'!$A$1:$F$52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1" l="1"/>
  <c r="D50" i="1"/>
  <c r="J49" i="1"/>
  <c r="D49" i="1"/>
  <c r="J48" i="1"/>
  <c r="D48" i="1"/>
  <c r="J47" i="1"/>
  <c r="D47" i="1"/>
  <c r="J46" i="1"/>
  <c r="D46" i="1"/>
  <c r="J45" i="1"/>
  <c r="D45" i="1"/>
  <c r="J44" i="1"/>
  <c r="D44" i="1"/>
  <c r="J43" i="1"/>
  <c r="D43" i="1"/>
  <c r="J42" i="1"/>
  <c r="D42" i="1"/>
  <c r="J41" i="1"/>
  <c r="D41" i="1"/>
  <c r="J40" i="1"/>
  <c r="D40" i="1"/>
  <c r="J39" i="1"/>
  <c r="D39" i="1"/>
  <c r="J38" i="1"/>
  <c r="D38" i="1"/>
  <c r="J37" i="1"/>
  <c r="D37" i="1"/>
  <c r="J36" i="1"/>
  <c r="D36" i="1"/>
  <c r="J35" i="1"/>
  <c r="D35" i="1"/>
  <c r="J34" i="1"/>
  <c r="D34" i="1"/>
  <c r="J33" i="1"/>
  <c r="D33" i="1"/>
  <c r="J32" i="1"/>
  <c r="D32" i="1"/>
  <c r="J31" i="1"/>
  <c r="D31" i="1"/>
  <c r="J30" i="1"/>
  <c r="D30" i="1"/>
  <c r="J29" i="1"/>
  <c r="D29" i="1"/>
  <c r="J28" i="1"/>
  <c r="D28" i="1"/>
  <c r="J27" i="1"/>
  <c r="D27" i="1"/>
  <c r="J26" i="1"/>
  <c r="D26" i="1"/>
  <c r="J25" i="1"/>
  <c r="D25" i="1"/>
  <c r="J24" i="1"/>
  <c r="D24" i="1"/>
  <c r="J23" i="1"/>
  <c r="D23" i="1"/>
  <c r="J22" i="1"/>
  <c r="D22" i="1"/>
  <c r="J21" i="1"/>
  <c r="D21" i="1"/>
  <c r="J20" i="1"/>
  <c r="D20" i="1"/>
  <c r="J19" i="1"/>
  <c r="D19" i="1"/>
  <c r="J18" i="1"/>
  <c r="D18" i="1"/>
  <c r="J17" i="1"/>
  <c r="D17" i="1"/>
  <c r="J16" i="1"/>
  <c r="D16" i="1"/>
  <c r="J15" i="1"/>
  <c r="D15" i="1"/>
  <c r="J14" i="1"/>
  <c r="D14" i="1"/>
  <c r="J13" i="1"/>
  <c r="D13" i="1"/>
  <c r="J12" i="1"/>
  <c r="D12" i="1"/>
  <c r="J11" i="1"/>
  <c r="D11" i="1"/>
  <c r="J10" i="1"/>
  <c r="D10" i="1"/>
  <c r="J9" i="1"/>
  <c r="D9" i="1"/>
  <c r="J8" i="1"/>
  <c r="D8" i="1"/>
  <c r="J7" i="1"/>
  <c r="D7" i="1"/>
  <c r="J6" i="1"/>
  <c r="D6" i="1"/>
  <c r="J5" i="1"/>
  <c r="D5" i="1"/>
  <c r="J4" i="1"/>
  <c r="D4" i="1"/>
  <c r="J3" i="1"/>
  <c r="D3" i="1"/>
  <c r="C3" i="3" l="1"/>
  <c r="C2" i="3"/>
</calcChain>
</file>

<file path=xl/sharedStrings.xml><?xml version="1.0" encoding="utf-8"?>
<sst xmlns="http://schemas.openxmlformats.org/spreadsheetml/2006/main" count="271" uniqueCount="46">
  <si>
    <t>English</t>
  </si>
  <si>
    <t>French</t>
  </si>
  <si>
    <t>German</t>
  </si>
  <si>
    <t>Hungarian</t>
  </si>
  <si>
    <t>Polish</t>
  </si>
  <si>
    <t>Romanian</t>
  </si>
  <si>
    <t>LANGUAGE</t>
  </si>
  <si>
    <t>MODEL</t>
  </si>
  <si>
    <t>ACCURACY</t>
  </si>
  <si>
    <t>HELLASWAG OVERALL SUMMARY</t>
  </si>
  <si>
    <t>GLOBALPIQA OVERALL SUMMARY</t>
  </si>
  <si>
    <t>1 - meta-llama/llama-3.1-8b-instruct</t>
  </si>
  <si>
    <t>2 - google/gemma-3-12b-it</t>
  </si>
  <si>
    <t>3 - mistralai/mistral-7b-instruct-v0.1</t>
  </si>
  <si>
    <t>4 - qwen/qwen-2.5-7b-instruct</t>
  </si>
  <si>
    <t>5 - openai/gpt-4o</t>
  </si>
  <si>
    <t>6 - anthropic/claude-opus-4.6</t>
  </si>
  <si>
    <t>7 - google/gemini-2.5-flash</t>
  </si>
  <si>
    <t>8 - qwen/qwen-max</t>
  </si>
  <si>
    <t>NORMALIZED</t>
  </si>
  <si>
    <t>Model Class</t>
  </si>
  <si>
    <t>HellaSwag</t>
  </si>
  <si>
    <t>Global PIQA</t>
  </si>
  <si>
    <t>Open Source Average</t>
  </si>
  <si>
    <t>Closed Source Average</t>
  </si>
  <si>
    <t>Language</t>
  </si>
  <si>
    <t>HellaSwag (Polish)</t>
  </si>
  <si>
    <t>HellaSwag (Romanian)</t>
  </si>
  <si>
    <t>Global PIQA (Polish)</t>
  </si>
  <si>
    <t>Global PIQA (Romanian)</t>
  </si>
  <si>
    <t>llama-3.1-8b-instruct</t>
  </si>
  <si>
    <t>gemma-3-12b-it</t>
  </si>
  <si>
    <t>mistral-7b-instruct-v0.1</t>
  </si>
  <si>
    <t>qwen-2.5-7b-instruct</t>
  </si>
  <si>
    <t>gpt-4o</t>
  </si>
  <si>
    <t>claude-opus-4.6</t>
  </si>
  <si>
    <t>gemini-2.5-flash</t>
  </si>
  <si>
    <t>qwen/qwen-max</t>
  </si>
  <si>
    <t>Family</t>
  </si>
  <si>
    <t>Germanian</t>
  </si>
  <si>
    <t>Romance</t>
  </si>
  <si>
    <t>Slavic</t>
  </si>
  <si>
    <t>Ugric</t>
  </si>
  <si>
    <t>Resource</t>
  </si>
  <si>
    <t>High Resource</t>
  </si>
  <si>
    <t>Medium 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</si>
</sst>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6"/>
      <color theme="1"/>
      <name val="Abadi"/>
      <family val="2"/>
    </font>
    <font>
      <sz val="12"/>
      <color theme="1"/>
      <name val="Abadi"/>
      <family val="2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b/>
      <sz val="11"/>
      <color theme="0"/>
      <name val="Abadi"/>
      <family val="2"/>
    </font>
  </fonts>
  <fills count="7">
    <fill>
      <patternFill patternType="none"/>
    </fill>
    <fill>
      <patternFill patternType="gray125"/>
    </fill>
    <fill>
      <patternFill patternType="solid">
        <fgColor rgb="FFFFCD2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theme="2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0" fontId="0" fillId="0" borderId="0" xfId="0" applyNumberFormat="1"/>
    <xf numFmtId="0" fontId="2" fillId="3" borderId="2" xfId="0" applyFont="1" applyFill="1" applyBorder="1"/>
    <xf numFmtId="0" fontId="2" fillId="0" borderId="2" xfId="0" applyFont="1" applyBorder="1"/>
    <xf numFmtId="10" fontId="2" fillId="3" borderId="3" xfId="0" applyNumberFormat="1" applyFont="1" applyFill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3" fillId="0" borderId="0" xfId="0" applyNumberFormat="1" applyFont="1"/>
    <xf numFmtId="0" fontId="2" fillId="0" borderId="4" xfId="0" applyFont="1" applyBorder="1"/>
    <xf numFmtId="0" fontId="4" fillId="0" borderId="0" xfId="0" applyFont="1" applyAlignment="1">
      <alignment horizontal="center" vertical="center"/>
    </xf>
    <xf numFmtId="10" fontId="4" fillId="3" borderId="3" xfId="0" applyNumberFormat="1" applyFont="1" applyFill="1" applyBorder="1" applyAlignment="1">
      <alignment horizontal="center" vertical="center"/>
    </xf>
    <xf numFmtId="10" fontId="4" fillId="0" borderId="3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0" fontId="4" fillId="0" borderId="0" xfId="0" applyNumberFormat="1" applyFont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6" xfId="0" applyFill="1" applyBorder="1"/>
    <xf numFmtId="0" fontId="0" fillId="0" borderId="9" xfId="0" applyFill="1" applyBorder="1"/>
    <xf numFmtId="0" fontId="2" fillId="0" borderId="10" xfId="0" applyFont="1" applyFill="1" applyBorder="1" applyAlignment="1">
      <alignment horizontal="center"/>
    </xf>
    <xf numFmtId="0" fontId="2" fillId="0" borderId="12" xfId="0" applyFont="1" applyFill="1" applyBorder="1"/>
    <xf numFmtId="0" fontId="2" fillId="0" borderId="6" xfId="0" applyFont="1" applyFill="1" applyBorder="1"/>
    <xf numFmtId="0" fontId="2" fillId="0" borderId="6" xfId="0" applyFont="1" applyFill="1" applyBorder="1" applyAlignment="1">
      <alignment horizontal="center"/>
    </xf>
    <xf numFmtId="0" fontId="2" fillId="0" borderId="10" xfId="0" applyFont="1" applyFill="1" applyBorder="1"/>
    <xf numFmtId="0" fontId="2" fillId="0" borderId="11" xfId="0" applyFont="1" applyFill="1" applyBorder="1" applyAlignment="1">
      <alignment horizontal="center"/>
    </xf>
    <xf numFmtId="0" fontId="0" fillId="0" borderId="11" xfId="0" applyFill="1" applyBorder="1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4" formatCode="0.00%"/>
    </dxf>
    <dxf>
      <numFmt numFmtId="14" formatCode="0.00%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</dxfs>
  <tableStyles count="0" defaultTableStyle="TableStyleMedium2" defaultPivotStyle="PivotStyleLight16"/>
  <colors>
    <mruColors>
      <color rgb="FFF36127"/>
      <color rgb="FFF3EE26"/>
      <color rgb="FFEB2953"/>
      <color rgb="FFFFA600"/>
      <color rgb="FFEF5675"/>
      <color rgb="FFFFD166"/>
      <color rgb="FFF18F01"/>
      <color rgb="FFA9D6E5"/>
      <color rgb="FF2E86AB"/>
      <color rgb="FF1385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Overall Average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tbl_2!$A$2</c:f>
              <c:strCache>
                <c:ptCount val="1"/>
                <c:pt idx="0">
                  <c:v>Open Source 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tbl_2!$B$1:$C$1</c:f>
              <c:strCache>
                <c:ptCount val="2"/>
                <c:pt idx="0">
                  <c:v>HellaSwag</c:v>
                </c:pt>
                <c:pt idx="1">
                  <c:v>Global PIQA</c:v>
                </c:pt>
              </c:strCache>
            </c:strRef>
          </c:cat>
          <c:val>
            <c:numRef>
              <c:f>tbl_2!$B$2:$C$2</c:f>
              <c:numCache>
                <c:formatCode>0.00%</c:formatCode>
                <c:ptCount val="2"/>
                <c:pt idx="0">
                  <c:v>0.36109999999999998</c:v>
                </c:pt>
                <c:pt idx="1">
                  <c:v>0.52500000000000002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1A-4E93-87C5-6354ED7141AF}"/>
            </c:ext>
          </c:extLst>
        </c:ser>
        <c:ser>
          <c:idx val="1"/>
          <c:order val="1"/>
          <c:tx>
            <c:strRef>
              <c:f>tbl_2!$A$3</c:f>
              <c:strCache>
                <c:ptCount val="1"/>
                <c:pt idx="0">
                  <c:v>Closed Source 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tbl_2!$B$1:$C$1</c:f>
              <c:strCache>
                <c:ptCount val="2"/>
                <c:pt idx="0">
                  <c:v>HellaSwag</c:v>
                </c:pt>
                <c:pt idx="1">
                  <c:v>Global PIQA</c:v>
                </c:pt>
              </c:strCache>
            </c:strRef>
          </c:cat>
          <c:val>
            <c:numRef>
              <c:f>tbl_2!$B$3:$C$3</c:f>
              <c:numCache>
                <c:formatCode>0.00%</c:formatCode>
                <c:ptCount val="2"/>
                <c:pt idx="0">
                  <c:v>0.73950000000000005</c:v>
                </c:pt>
                <c:pt idx="1">
                  <c:v>0.89666666666666661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1A-4E93-87C5-6354ED714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59877360"/>
        <c:axId val="1659879280"/>
      </c:barChart>
      <c:catAx>
        <c:axId val="165987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79280"/>
        <c:crosses val="autoZero"/>
        <c:auto val="1"/>
        <c:lblAlgn val="ctr"/>
        <c:lblOffset val="100"/>
        <c:noMultiLvlLbl val="0"/>
      </c:catAx>
      <c:valAx>
        <c:axId val="165987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87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tbl_3!$C$1</c:f>
              <c:strCache>
                <c:ptCount val="1"/>
                <c:pt idx="0">
                  <c:v>HellaSwag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tbl_3!$A$2:$B$9</c15:sqref>
                  </c15:fullRef>
                  <c15:levelRef>
                    <c15:sqref>tbl_3!$B$2:$B$9</c15:sqref>
                  </c15:levelRef>
                </c:ext>
              </c:extLst>
              <c:f>tbl_3!$B$2:$B$9</c:f>
              <c:strCache>
                <c:ptCount val="8"/>
                <c:pt idx="0">
                  <c:v>1 - meta-llama/llama-3.1-8b-instruct</c:v>
                </c:pt>
                <c:pt idx="1">
                  <c:v>2 - google/gemma-3-12b-it</c:v>
                </c:pt>
                <c:pt idx="2">
                  <c:v>3 - mistralai/mistral-7b-instruct-v0.1</c:v>
                </c:pt>
                <c:pt idx="3">
                  <c:v>4 - qwen/qwen-2.5-7b-instruct</c:v>
                </c:pt>
                <c:pt idx="4">
                  <c:v>5 - openai/gpt-4o</c:v>
                </c:pt>
                <c:pt idx="5">
                  <c:v>6 - anthropic/claude-opus-4.6</c:v>
                </c:pt>
                <c:pt idx="6">
                  <c:v>7 - google/gemini-2.5-flash</c:v>
                </c:pt>
                <c:pt idx="7">
                  <c:v>8 - qwen/qwen-max</c:v>
                </c:pt>
              </c:strCache>
            </c:strRef>
          </c:cat>
          <c:val>
            <c:numRef>
              <c:f>tbl_3!$C$2:$C$9</c:f>
              <c:numCache>
                <c:formatCode>0.00%</c:formatCode>
                <c:ptCount val="8"/>
                <c:pt idx="0">
                  <c:v>0.36000000000000004</c:v>
                </c:pt>
                <c:pt idx="1">
                  <c:v>0.57333333333333336</c:v>
                </c:pt>
                <c:pt idx="2">
                  <c:v>0.25333333333333335</c:v>
                </c:pt>
                <c:pt idx="3">
                  <c:v>0.65333333333333332</c:v>
                </c:pt>
                <c:pt idx="4">
                  <c:v>0.81333333333333335</c:v>
                </c:pt>
                <c:pt idx="5">
                  <c:v>0.91999999999999993</c:v>
                </c:pt>
                <c:pt idx="6">
                  <c:v>0.72000000000000008</c:v>
                </c:pt>
                <c:pt idx="7">
                  <c:v>0.7599999999999999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8-4AB2-B2C6-A601735AD546}"/>
            </c:ext>
          </c:extLst>
        </c:ser>
        <c:ser>
          <c:idx val="1"/>
          <c:order val="1"/>
          <c:tx>
            <c:strRef>
              <c:f>tbl_3!$D$1</c:f>
              <c:strCache>
                <c:ptCount val="1"/>
                <c:pt idx="0">
                  <c:v>Global PIQA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tbl_3!$A$2:$B$9</c15:sqref>
                  </c15:fullRef>
                  <c15:levelRef>
                    <c15:sqref>tbl_3!$B$2:$B$9</c15:sqref>
                  </c15:levelRef>
                </c:ext>
              </c:extLst>
              <c:f>tbl_3!$B$2:$B$9</c:f>
              <c:strCache>
                <c:ptCount val="8"/>
                <c:pt idx="0">
                  <c:v>1 - meta-llama/llama-3.1-8b-instruct</c:v>
                </c:pt>
                <c:pt idx="1">
                  <c:v>2 - google/gemma-3-12b-it</c:v>
                </c:pt>
                <c:pt idx="2">
                  <c:v>3 - mistralai/mistral-7b-instruct-v0.1</c:v>
                </c:pt>
                <c:pt idx="3">
                  <c:v>4 - qwen/qwen-2.5-7b-instruct</c:v>
                </c:pt>
                <c:pt idx="4">
                  <c:v>5 - openai/gpt-4o</c:v>
                </c:pt>
                <c:pt idx="5">
                  <c:v>6 - anthropic/claude-opus-4.6</c:v>
                </c:pt>
                <c:pt idx="6">
                  <c:v>7 - google/gemini-2.5-flash</c:v>
                </c:pt>
                <c:pt idx="7">
                  <c:v>8 - qwen/qwen-max</c:v>
                </c:pt>
              </c:strCache>
            </c:strRef>
          </c:cat>
          <c:val>
            <c:numRef>
              <c:f>tbl_3!$D$2:$D$9</c:f>
              <c:numCache>
                <c:formatCode>0.00%</c:formatCode>
                <c:ptCount val="8"/>
                <c:pt idx="0">
                  <c:v>0.48</c:v>
                </c:pt>
                <c:pt idx="1">
                  <c:v>0.72</c:v>
                </c:pt>
                <c:pt idx="2">
                  <c:v>0.34000000000000008</c:v>
                </c:pt>
                <c:pt idx="3">
                  <c:v>0.6399999999999999</c:v>
                </c:pt>
                <c:pt idx="4">
                  <c:v>0.87999999999999989</c:v>
                </c:pt>
                <c:pt idx="5">
                  <c:v>0.89999999999999991</c:v>
                </c:pt>
                <c:pt idx="6">
                  <c:v>0.8600000000000001</c:v>
                </c:pt>
                <c:pt idx="7">
                  <c:v>0.8600000000000001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18-4AB2-B2C6-A601735AD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6155728"/>
        <c:axId val="1666154288"/>
      </c:barChart>
      <c:catAx>
        <c:axId val="166615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54288"/>
        <c:crosses val="autoZero"/>
        <c:auto val="1"/>
        <c:lblAlgn val="ctr"/>
        <c:lblOffset val="100"/>
        <c:noMultiLvlLbl val="0"/>
      </c:catAx>
      <c:valAx>
        <c:axId val="166615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5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tbl_4!$B$1</c:f>
              <c:strCache>
                <c:ptCount val="1"/>
                <c:pt idx="0">
                  <c:v>HellaSwag (Polish)</c:v>
                </c:pt>
              </c:strCache>
            </c:strRef>
          </c:tx>
          <c:spPr>
            <a:solidFill>
              <a:srgbClr val="2E86AB"/>
            </a:solidFill>
            <a:ln>
              <a:noFill/>
            </a:ln>
            <a:effectLst/>
          </c:spPr>
          <c:invertIfNegative val="0"/>
          <c:cat>
            <c:strRef>
              <c:f>tbl_4!$A$2:$A$9</c:f>
              <c:strCache>
                <c:ptCount val="8"/>
                <c:pt idx="0">
                  <c:v>llama-3.1-8b-instruct</c:v>
                </c:pt>
                <c:pt idx="1">
                  <c:v>gemma-3-12b-it</c:v>
                </c:pt>
                <c:pt idx="2">
                  <c:v>mistral-7b-instruct-v0.1</c:v>
                </c:pt>
                <c:pt idx="3">
                  <c:v>qwen-2.5-7b-instruct</c:v>
                </c:pt>
                <c:pt idx="4">
                  <c:v>gpt-4o</c:v>
                </c:pt>
                <c:pt idx="5">
                  <c:v>claude-opus-4.6</c:v>
                </c:pt>
                <c:pt idx="6">
                  <c:v>gemini-2.5-flash</c:v>
                </c:pt>
                <c:pt idx="7">
                  <c:v>qwen/qwen-max</c:v>
                </c:pt>
              </c:strCache>
            </c:strRef>
          </c:cat>
          <c:val>
            <c:numRef>
              <c:f>tbl_4!$B$2:$B$9</c:f>
              <c:numCache>
                <c:formatCode>0.00%</c:formatCode>
                <c:ptCount val="8"/>
                <c:pt idx="0">
                  <c:v>0.29333333333333328</c:v>
                </c:pt>
                <c:pt idx="1">
                  <c:v>0.43999999999999995</c:v>
                </c:pt>
                <c:pt idx="2">
                  <c:v>9.3333333333333338E-2</c:v>
                </c:pt>
                <c:pt idx="3">
                  <c:v>0.40000000000000008</c:v>
                </c:pt>
                <c:pt idx="4">
                  <c:v>0.77333333333333332</c:v>
                </c:pt>
                <c:pt idx="5">
                  <c:v>0.7466666666666667</c:v>
                </c:pt>
                <c:pt idx="6">
                  <c:v>0.61333333333333329</c:v>
                </c:pt>
                <c:pt idx="7">
                  <c:v>0.61333333333333329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E-4915-B0F8-A3075ACA18D1}"/>
            </c:ext>
          </c:extLst>
        </c:ser>
        <c:ser>
          <c:idx val="1"/>
          <c:order val="1"/>
          <c:tx>
            <c:strRef>
              <c:f>tbl_4!$C$1</c:f>
              <c:strCache>
                <c:ptCount val="1"/>
                <c:pt idx="0">
                  <c:v>Global PIQA (Polish)</c:v>
                </c:pt>
              </c:strCache>
            </c:strRef>
          </c:tx>
          <c:spPr>
            <a:solidFill>
              <a:srgbClr val="A9D6E5"/>
            </a:solidFill>
            <a:ln>
              <a:noFill/>
            </a:ln>
            <a:effectLst/>
          </c:spPr>
          <c:invertIfNegative val="0"/>
          <c:cat>
            <c:strRef>
              <c:f>tbl_4!$A$2:$A$9</c:f>
              <c:strCache>
                <c:ptCount val="8"/>
                <c:pt idx="0">
                  <c:v>llama-3.1-8b-instruct</c:v>
                </c:pt>
                <c:pt idx="1">
                  <c:v>gemma-3-12b-it</c:v>
                </c:pt>
                <c:pt idx="2">
                  <c:v>mistral-7b-instruct-v0.1</c:v>
                </c:pt>
                <c:pt idx="3">
                  <c:v>qwen-2.5-7b-instruct</c:v>
                </c:pt>
                <c:pt idx="4">
                  <c:v>gpt-4o</c:v>
                </c:pt>
                <c:pt idx="5">
                  <c:v>claude-opus-4.6</c:v>
                </c:pt>
                <c:pt idx="6">
                  <c:v>gemini-2.5-flash</c:v>
                </c:pt>
                <c:pt idx="7">
                  <c:v>qwen/qwen-max</c:v>
                </c:pt>
              </c:strCache>
            </c:strRef>
          </c:cat>
          <c:val>
            <c:numRef>
              <c:f>tbl_4!$C$2:$C$9</c:f>
              <c:numCache>
                <c:formatCode>0.00%</c:formatCode>
                <c:ptCount val="8"/>
                <c:pt idx="0">
                  <c:v>0.28000000000000003</c:v>
                </c:pt>
                <c:pt idx="1">
                  <c:v>0.72</c:v>
                </c:pt>
                <c:pt idx="2">
                  <c:v>0.30000000000000004</c:v>
                </c:pt>
                <c:pt idx="3">
                  <c:v>0.34000000000000008</c:v>
                </c:pt>
                <c:pt idx="4">
                  <c:v>0.89999999999999991</c:v>
                </c:pt>
                <c:pt idx="5">
                  <c:v>0.96</c:v>
                </c:pt>
                <c:pt idx="6">
                  <c:v>0.96</c:v>
                </c:pt>
                <c:pt idx="7">
                  <c:v>0.8600000000000001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7E-4915-B0F8-A3075ACA18D1}"/>
            </c:ext>
          </c:extLst>
        </c:ser>
        <c:ser>
          <c:idx val="2"/>
          <c:order val="2"/>
          <c:tx>
            <c:strRef>
              <c:f>tbl_4!$D$1</c:f>
              <c:strCache>
                <c:ptCount val="1"/>
                <c:pt idx="0">
                  <c:v>HellaSwag (Romanian)</c:v>
                </c:pt>
              </c:strCache>
            </c:strRef>
          </c:tx>
          <c:spPr>
            <a:solidFill>
              <a:srgbClr val="F36127"/>
            </a:solidFill>
            <a:ln>
              <a:noFill/>
            </a:ln>
            <a:effectLst/>
          </c:spPr>
          <c:invertIfNegative val="0"/>
          <c:cat>
            <c:strRef>
              <c:f>tbl_4!$A$2:$A$9</c:f>
              <c:strCache>
                <c:ptCount val="8"/>
                <c:pt idx="0">
                  <c:v>llama-3.1-8b-instruct</c:v>
                </c:pt>
                <c:pt idx="1">
                  <c:v>gemma-3-12b-it</c:v>
                </c:pt>
                <c:pt idx="2">
                  <c:v>mistral-7b-instruct-v0.1</c:v>
                </c:pt>
                <c:pt idx="3">
                  <c:v>qwen-2.5-7b-instruct</c:v>
                </c:pt>
                <c:pt idx="4">
                  <c:v>gpt-4o</c:v>
                </c:pt>
                <c:pt idx="5">
                  <c:v>claude-opus-4.6</c:v>
                </c:pt>
                <c:pt idx="6">
                  <c:v>gemini-2.5-flash</c:v>
                </c:pt>
                <c:pt idx="7">
                  <c:v>qwen/qwen-max</c:v>
                </c:pt>
              </c:strCache>
            </c:strRef>
          </c:cat>
          <c:val>
            <c:numRef>
              <c:f>tbl_4!$D$2:$D$9</c:f>
              <c:numCache>
                <c:formatCode>0.00%</c:formatCode>
                <c:ptCount val="8"/>
                <c:pt idx="0">
                  <c:v>0.20000000000000004</c:v>
                </c:pt>
                <c:pt idx="1">
                  <c:v>0.52</c:v>
                </c:pt>
                <c:pt idx="2">
                  <c:v>4.0000000000000036E-2</c:v>
                </c:pt>
                <c:pt idx="3">
                  <c:v>0.22666666666666666</c:v>
                </c:pt>
                <c:pt idx="4">
                  <c:v>0.70666666666666667</c:v>
                </c:pt>
                <c:pt idx="5">
                  <c:v>0.78666666666666663</c:v>
                </c:pt>
                <c:pt idx="6">
                  <c:v>0.62666666666666659</c:v>
                </c:pt>
                <c:pt idx="7">
                  <c:v>0.57333333333333336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7E-4915-B0F8-A3075ACA18D1}"/>
            </c:ext>
          </c:extLst>
        </c:ser>
        <c:ser>
          <c:idx val="3"/>
          <c:order val="3"/>
          <c:tx>
            <c:strRef>
              <c:f>tbl_4!$E$1</c:f>
              <c:strCache>
                <c:ptCount val="1"/>
                <c:pt idx="0">
                  <c:v>Global PIQA (Romanian)</c:v>
                </c:pt>
              </c:strCache>
            </c:strRef>
          </c:tx>
          <c:spPr>
            <a:solidFill>
              <a:srgbClr val="FFA600"/>
            </a:solidFill>
            <a:ln>
              <a:noFill/>
            </a:ln>
            <a:effectLst/>
          </c:spPr>
          <c:invertIfNegative val="0"/>
          <c:cat>
            <c:strRef>
              <c:f>tbl_4!$A$2:$A$9</c:f>
              <c:strCache>
                <c:ptCount val="8"/>
                <c:pt idx="0">
                  <c:v>llama-3.1-8b-instruct</c:v>
                </c:pt>
                <c:pt idx="1">
                  <c:v>gemma-3-12b-it</c:v>
                </c:pt>
                <c:pt idx="2">
                  <c:v>mistral-7b-instruct-v0.1</c:v>
                </c:pt>
                <c:pt idx="3">
                  <c:v>qwen-2.5-7b-instruct</c:v>
                </c:pt>
                <c:pt idx="4">
                  <c:v>gpt-4o</c:v>
                </c:pt>
                <c:pt idx="5">
                  <c:v>claude-opus-4.6</c:v>
                </c:pt>
                <c:pt idx="6">
                  <c:v>gemini-2.5-flash</c:v>
                </c:pt>
                <c:pt idx="7">
                  <c:v>qwen/qwen-max</c:v>
                </c:pt>
              </c:strCache>
            </c:strRef>
          </c:cat>
          <c:val>
            <c:numRef>
              <c:f>tbl_4!$E$2:$E$9</c:f>
              <c:numCache>
                <c:formatCode>0.00%</c:formatCode>
                <c:ptCount val="8"/>
                <c:pt idx="0">
                  <c:v>0.76</c:v>
                </c:pt>
                <c:pt idx="1">
                  <c:v>0.98</c:v>
                </c:pt>
                <c:pt idx="2">
                  <c:v>0.72</c:v>
                </c:pt>
                <c:pt idx="3">
                  <c:v>0.87999999999999989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7E-4915-B0F8-A3075ACA1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907120"/>
        <c:axId val="1659910960"/>
      </c:barChart>
      <c:catAx>
        <c:axId val="165990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10960"/>
        <c:crosses val="autoZero"/>
        <c:auto val="1"/>
        <c:lblAlgn val="ctr"/>
        <c:lblOffset val="100"/>
        <c:noMultiLvlLbl val="0"/>
      </c:catAx>
      <c:valAx>
        <c:axId val="16599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90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tbl_5!$B$1</c:f>
              <c:strCache>
                <c:ptCount val="1"/>
                <c:pt idx="0">
                  <c:v>llama-3.1-8b-instruct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tbl_5!$A$2:$A$7</c:f>
              <c:strCache>
                <c:ptCount val="6"/>
                <c:pt idx="0">
                  <c:v>English</c:v>
                </c:pt>
                <c:pt idx="1">
                  <c:v>German</c:v>
                </c:pt>
                <c:pt idx="2">
                  <c:v>French</c:v>
                </c:pt>
                <c:pt idx="3">
                  <c:v>Polish</c:v>
                </c:pt>
                <c:pt idx="4">
                  <c:v>Hungarian</c:v>
                </c:pt>
                <c:pt idx="5">
                  <c:v>Romanian</c:v>
                </c:pt>
              </c:strCache>
            </c:strRef>
          </c:cat>
          <c:val>
            <c:numRef>
              <c:f>tbl_5!$B$2:$B$7</c:f>
              <c:numCache>
                <c:formatCode>0.00%</c:formatCode>
                <c:ptCount val="6"/>
                <c:pt idx="0">
                  <c:v>0.36000000000000004</c:v>
                </c:pt>
                <c:pt idx="1">
                  <c:v>0.36000000000000004</c:v>
                </c:pt>
                <c:pt idx="2">
                  <c:v>0.24</c:v>
                </c:pt>
                <c:pt idx="3">
                  <c:v>0.29333333333333328</c:v>
                </c:pt>
                <c:pt idx="4">
                  <c:v>0.26666666666666666</c:v>
                </c:pt>
                <c:pt idx="5">
                  <c:v>0.20000000000000004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14-41C7-9B7A-CC41C86BF9C2}"/>
            </c:ext>
          </c:extLst>
        </c:ser>
        <c:ser>
          <c:idx val="1"/>
          <c:order val="1"/>
          <c:tx>
            <c:strRef>
              <c:f>tbl_5!$C$1</c:f>
              <c:strCache>
                <c:ptCount val="1"/>
                <c:pt idx="0">
                  <c:v>mistral-7b-instruct-v0.1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tbl_5!$A$2:$A$7</c:f>
              <c:strCache>
                <c:ptCount val="6"/>
                <c:pt idx="0">
                  <c:v>English</c:v>
                </c:pt>
                <c:pt idx="1">
                  <c:v>German</c:v>
                </c:pt>
                <c:pt idx="2">
                  <c:v>French</c:v>
                </c:pt>
                <c:pt idx="3">
                  <c:v>Polish</c:v>
                </c:pt>
                <c:pt idx="4">
                  <c:v>Hungarian</c:v>
                </c:pt>
                <c:pt idx="5">
                  <c:v>Romanian</c:v>
                </c:pt>
              </c:strCache>
            </c:strRef>
          </c:cat>
          <c:val>
            <c:numRef>
              <c:f>tbl_5!$C$2:$C$7</c:f>
              <c:numCache>
                <c:formatCode>0.00%</c:formatCode>
                <c:ptCount val="6"/>
                <c:pt idx="0">
                  <c:v>0.25333333333333335</c:v>
                </c:pt>
                <c:pt idx="1">
                  <c:v>0.29333333333333328</c:v>
                </c:pt>
                <c:pt idx="2">
                  <c:v>0.18666666666666668</c:v>
                </c:pt>
                <c:pt idx="3">
                  <c:v>9.3333333333333338E-2</c:v>
                </c:pt>
                <c:pt idx="4">
                  <c:v>0.16</c:v>
                </c:pt>
                <c:pt idx="5">
                  <c:v>4.0000000000000036E-2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14-41C7-9B7A-CC41C86BF9C2}"/>
            </c:ext>
          </c:extLst>
        </c:ser>
        <c:ser>
          <c:idx val="2"/>
          <c:order val="2"/>
          <c:tx>
            <c:strRef>
              <c:f>tbl_5!$D$1</c:f>
              <c:strCache>
                <c:ptCount val="1"/>
                <c:pt idx="0">
                  <c:v>qwen-2.5-7b-instruct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tbl_5!$A$2:$A$7</c:f>
              <c:strCache>
                <c:ptCount val="6"/>
                <c:pt idx="0">
                  <c:v>English</c:v>
                </c:pt>
                <c:pt idx="1">
                  <c:v>German</c:v>
                </c:pt>
                <c:pt idx="2">
                  <c:v>French</c:v>
                </c:pt>
                <c:pt idx="3">
                  <c:v>Polish</c:v>
                </c:pt>
                <c:pt idx="4">
                  <c:v>Hungarian</c:v>
                </c:pt>
                <c:pt idx="5">
                  <c:v>Romanian</c:v>
                </c:pt>
              </c:strCache>
            </c:strRef>
          </c:cat>
          <c:val>
            <c:numRef>
              <c:f>tbl_5!$D$2:$D$7</c:f>
              <c:numCache>
                <c:formatCode>0.00%</c:formatCode>
                <c:ptCount val="6"/>
                <c:pt idx="0">
                  <c:v>0.65333333333333332</c:v>
                </c:pt>
                <c:pt idx="1">
                  <c:v>0.62666666666666659</c:v>
                </c:pt>
                <c:pt idx="2">
                  <c:v>0.50666666666666671</c:v>
                </c:pt>
                <c:pt idx="3">
                  <c:v>0.40000000000000008</c:v>
                </c:pt>
                <c:pt idx="4">
                  <c:v>0.28000000000000003</c:v>
                </c:pt>
                <c:pt idx="5">
                  <c:v>0.22666666666666666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14-41C7-9B7A-CC41C86BF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1345136"/>
        <c:axId val="1821346096"/>
      </c:lineChart>
      <c:catAx>
        <c:axId val="18213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346096"/>
        <c:crosses val="autoZero"/>
        <c:auto val="1"/>
        <c:lblAlgn val="ctr"/>
        <c:lblOffset val="100"/>
        <c:noMultiLvlLbl val="0"/>
      </c:catAx>
      <c:valAx>
        <c:axId val="18213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34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</xdr:row>
      <xdr:rowOff>0</xdr:rowOff>
    </xdr:from>
    <xdr:to>
      <xdr:col>7</xdr:col>
      <xdr:colOff>400050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4E267-780E-45A9-BA76-1C9DC44C2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10</xdr:row>
      <xdr:rowOff>9525</xdr:rowOff>
    </xdr:from>
    <xdr:to>
      <xdr:col>3</xdr:col>
      <xdr:colOff>914400</xdr:colOff>
      <xdr:row>24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5566B3-6CE7-40FF-8D00-E810CD031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9</xdr:row>
      <xdr:rowOff>180975</xdr:rowOff>
    </xdr:from>
    <xdr:to>
      <xdr:col>5</xdr:col>
      <xdr:colOff>0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C7194-E433-4DCF-808C-C4BA7FD10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171450</xdr:rowOff>
    </xdr:from>
    <xdr:to>
      <xdr:col>4</xdr:col>
      <xdr:colOff>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61DCF-B2C4-467E-B74F-2FF2D3996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87BD3F-41FC-42FF-AD22-D8A7DDCEFB2E}" name="Table1" displayName="Table1" ref="A2:D51" totalsRowCount="1" headerRowDxfId="28">
  <autoFilter ref="A2:D50" xr:uid="{6C87BD3F-41FC-42FF-AD22-D8A7DDCEFB2E}"/>
  <tableColumns count="4">
    <tableColumn id="1" xr3:uid="{369F1479-4F7B-48E1-8772-F7E1B3782DF5}" name="LANGUAGE" dataDxfId="27" totalsRowDxfId="26"/>
    <tableColumn id="2" xr3:uid="{E1407F2E-FE9A-431D-B2BA-BD5BC76ECA5D}" name="MODEL" dataDxfId="25" totalsRowDxfId="24"/>
    <tableColumn id="3" xr3:uid="{CCB64EB4-A349-441A-9186-1D34BB6D4A2C}" name="ACCURACY" dataDxfId="23" totalsRowDxfId="22"/>
    <tableColumn id="5" xr3:uid="{0BCB1260-961F-4B9D-95B7-CF4A7F612443}" name="NORMALIZED" dataDxfId="21" totalsRowDxfId="20">
      <calculatedColumnFormula>(Table1[[#This Row],[ACCURACY]]-0.25)/(1-0.25)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E691D1-8B39-4301-AB67-4064832670F0}" name="Table2" displayName="Table2" ref="G2:J50" totalsRowShown="0" headerRowDxfId="19">
  <autoFilter ref="G2:J50" xr:uid="{0AE691D1-8B39-4301-AB67-4064832670F0}"/>
  <tableColumns count="4">
    <tableColumn id="1" xr3:uid="{17C2CC99-F4DB-4C17-9DED-7050E69CEEB0}" name="LANGUAGE" dataDxfId="18"/>
    <tableColumn id="2" xr3:uid="{59A4EAD2-EC90-4878-BFCD-96E691AFC2AB}" name="MODEL" dataDxfId="17"/>
    <tableColumn id="3" xr3:uid="{7E6D6C92-232F-48C8-BB23-896DC83DCF2D}" name="ACCURACY" dataDxfId="16"/>
    <tableColumn id="5" xr3:uid="{425F2992-0565-444F-BAB7-6FCC9E99E399}" name="NORMALIZED" dataDxfId="15">
      <calculatedColumnFormula>(Table2[[#This Row],[ACCURACY]]-0.5)/(1-0.5)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8579E2-8E25-44AE-AC9A-D27A380A6166}" name="Table4" displayName="Table4" ref="A1:C7" totalsRowShown="0" headerRowDxfId="14" dataDxfId="13">
  <autoFilter ref="A1:C7" xr:uid="{868579E2-8E25-44AE-AC9A-D27A380A6166}"/>
  <tableColumns count="3">
    <tableColumn id="1" xr3:uid="{E614AF93-5620-40F3-9CD4-E6C1AC993735}" name="Language" dataDxfId="12"/>
    <tableColumn id="2" xr3:uid="{8E3F3D21-B2EE-40AA-9209-D3A571EC64E2}" name="Family" dataDxfId="11"/>
    <tableColumn id="3" xr3:uid="{8394C6DD-8E06-41BF-92FA-E27E653751B5}" name="Resource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7518BE-01D2-472D-B17C-B709D78DEB62}" name="Table3" displayName="Table3" ref="A1:C3" totalsRowShown="0">
  <autoFilter ref="A1:C3" xr:uid="{697518BE-01D2-472D-B17C-B709D78DEB62}"/>
  <tableColumns count="3">
    <tableColumn id="1" xr3:uid="{3F4F35C0-D200-47A5-B7C0-6C4556F06F42}" name="Model Class"/>
    <tableColumn id="2" xr3:uid="{6B5BD4DE-986C-48F9-BC47-3DDA10009F71}" name="HellaSwag" dataDxfId="9"/>
    <tableColumn id="3" xr3:uid="{5E004CA8-3017-4C5F-82C6-3CFAA65DE0DB}" name="Global PIQA" dataDxfId="8">
      <calculatedColumnFormula>AVERAGE(J6:J9,J14:J17,J22:J25,J30:J33,J38:J41,J46:J49)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FF7FC13-4090-4148-8342-AF4B3D981662}" name="Table5" displayName="Table5" ref="A1:D9" totalsRowShown="0">
  <autoFilter ref="A1:D9" xr:uid="{3FF7FC13-4090-4148-8342-AF4B3D981662}"/>
  <tableColumns count="4">
    <tableColumn id="1" xr3:uid="{F56AC9A0-DDEF-45AD-A0E0-3E566EF19CB7}" name="Language"/>
    <tableColumn id="2" xr3:uid="{D555A144-26F5-44E9-85C9-D91E39ADA68D}" name="Model Class" dataDxfId="7"/>
    <tableColumn id="3" xr3:uid="{CE73B623-1286-4601-B4F3-759892465739}" name="HellaSwag" dataDxfId="6"/>
    <tableColumn id="4" xr3:uid="{74EB6B75-07CF-4236-B194-BCBD308C3BEF}" name="Global PIQA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977A1E-014B-4E0E-8EE4-88FA4A0F6F79}" name="Table7" displayName="Table7" ref="A1:E9" totalsRowShown="0">
  <autoFilter ref="A1:E9" xr:uid="{8C977A1E-014B-4E0E-8EE4-88FA4A0F6F79}"/>
  <tableColumns count="5">
    <tableColumn id="2" xr3:uid="{EFE923ED-85C1-4F16-8D42-39CCC259D1D3}" name="Model Class" dataDxfId="4"/>
    <tableColumn id="3" xr3:uid="{1E838FDE-CA3B-4321-8FDB-5D6DAAE31F4D}" name="HellaSwag (Polish)" dataDxfId="3"/>
    <tableColumn id="4" xr3:uid="{DA4A4169-A369-4D89-8104-E7E8526EFD82}" name="Global PIQA (Polish)" dataDxfId="2"/>
    <tableColumn id="5" xr3:uid="{D9A0A938-028B-4E76-A09D-38DB6249C5CA}" name="HellaSwag (Romanian)" dataDxfId="1"/>
    <tableColumn id="6" xr3:uid="{E690CEEE-4C78-4554-8166-83909CAF3EF7}" name="Global PIQA (Romania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3A79-4AE6-4760-9E40-E478BFE70233}">
  <sheetPr codeName="Sheet1">
    <pageSetUpPr fitToPage="1"/>
  </sheetPr>
  <dimension ref="A1:AG51"/>
  <sheetViews>
    <sheetView tabSelected="1" zoomScaleNormal="100" workbookViewId="0">
      <selection activeCell="Z16" sqref="Z16"/>
    </sheetView>
  </sheetViews>
  <sheetFormatPr defaultRowHeight="15" x14ac:dyDescent="0.25"/>
  <cols>
    <col min="1" max="1" width="18.85546875" style="3" bestFit="1" customWidth="1"/>
    <col min="2" max="2" width="39.42578125" customWidth="1"/>
    <col min="3" max="3" width="18.28515625" style="3" bestFit="1" customWidth="1"/>
    <col min="4" max="4" width="18.28515625" style="3" customWidth="1"/>
    <col min="5" max="5" width="11.7109375" customWidth="1"/>
    <col min="7" max="7" width="15.85546875" style="6" bestFit="1" customWidth="1"/>
    <col min="8" max="8" width="44.140625" style="10" customWidth="1"/>
    <col min="9" max="9" width="14.7109375" bestFit="1" customWidth="1"/>
    <col min="10" max="10" width="14.7109375" customWidth="1"/>
    <col min="13" max="13" width="34.28515625" customWidth="1"/>
    <col min="14" max="14" width="22" customWidth="1"/>
    <col min="15" max="15" width="12.42578125" customWidth="1"/>
    <col min="16" max="16" width="13.7109375" customWidth="1"/>
    <col min="18" max="18" width="9.140625" style="8" customWidth="1"/>
    <col min="19" max="19" width="11.5703125" customWidth="1"/>
    <col min="20" max="20" width="37.140625" customWidth="1"/>
    <col min="21" max="21" width="12.42578125" customWidth="1"/>
    <col min="22" max="22" width="13.7109375" customWidth="1"/>
    <col min="24" max="24" width="38.85546875" customWidth="1"/>
    <col min="25" max="25" width="17.5703125" customWidth="1"/>
    <col min="26" max="26" width="21" customWidth="1"/>
    <col min="27" max="27" width="21.140625" customWidth="1"/>
    <col min="28" max="28" width="23.28515625" customWidth="1"/>
    <col min="29" max="29" width="24.5703125" customWidth="1"/>
    <col min="30" max="30" width="11.5703125" customWidth="1"/>
    <col min="31" max="31" width="24.28515625" customWidth="1"/>
    <col min="32" max="32" width="27" customWidth="1"/>
    <col min="33" max="33" width="25" customWidth="1"/>
  </cols>
  <sheetData>
    <row r="1" spans="1:33" ht="21.75" x14ac:dyDescent="0.35">
      <c r="A1" s="22" t="s">
        <v>9</v>
      </c>
      <c r="B1" s="22"/>
      <c r="C1" s="22"/>
      <c r="D1" s="22"/>
      <c r="F1" s="8"/>
      <c r="G1" s="23" t="s">
        <v>10</v>
      </c>
      <c r="H1" s="23"/>
      <c r="I1" s="23"/>
      <c r="J1" s="23"/>
    </row>
    <row r="2" spans="1:33" ht="15.75" x14ac:dyDescent="0.25">
      <c r="A2" s="5" t="s">
        <v>6</v>
      </c>
      <c r="B2" s="5" t="s">
        <v>7</v>
      </c>
      <c r="C2" s="5" t="s">
        <v>8</v>
      </c>
      <c r="D2" s="5" t="s">
        <v>19</v>
      </c>
      <c r="G2" s="5" t="s">
        <v>6</v>
      </c>
      <c r="H2" s="9" t="s">
        <v>7</v>
      </c>
      <c r="I2" s="5" t="s">
        <v>8</v>
      </c>
      <c r="J2" s="5" t="s">
        <v>19</v>
      </c>
    </row>
    <row r="3" spans="1:33" ht="15.75" x14ac:dyDescent="0.25">
      <c r="A3" s="2" t="s">
        <v>0</v>
      </c>
      <c r="B3" s="1" t="s">
        <v>11</v>
      </c>
      <c r="C3" s="4">
        <v>0.52</v>
      </c>
      <c r="D3" s="4">
        <f>(Table1[[#This Row],[ACCURACY]]-0.25)/(1-0.25)</f>
        <v>0.36000000000000004</v>
      </c>
      <c r="G3" s="5" t="s">
        <v>0</v>
      </c>
      <c r="H3" s="9" t="s">
        <v>11</v>
      </c>
      <c r="I3" s="7">
        <v>0.74</v>
      </c>
      <c r="J3" s="7">
        <f>(Table2[[#This Row],[ACCURACY]]-0.5)/(1-0.5)</f>
        <v>0.48</v>
      </c>
    </row>
    <row r="4" spans="1:33" ht="15.75" x14ac:dyDescent="0.25">
      <c r="A4" s="2" t="s">
        <v>0</v>
      </c>
      <c r="B4" s="1" t="s">
        <v>12</v>
      </c>
      <c r="C4" s="4">
        <v>0.68</v>
      </c>
      <c r="D4" s="4">
        <f>(Table1[[#This Row],[ACCURACY]]-0.25)/(1-0.25)</f>
        <v>0.57333333333333336</v>
      </c>
      <c r="G4" s="5" t="s">
        <v>0</v>
      </c>
      <c r="H4" s="9" t="s">
        <v>12</v>
      </c>
      <c r="I4" s="7">
        <v>0.86</v>
      </c>
      <c r="J4" s="7">
        <f>(Table2[[#This Row],[ACCURACY]]-0.5)/(1-0.5)</f>
        <v>0.72</v>
      </c>
      <c r="K4" s="11"/>
    </row>
    <row r="5" spans="1:33" ht="15.75" x14ac:dyDescent="0.25">
      <c r="A5" s="2" t="s">
        <v>0</v>
      </c>
      <c r="B5" s="1" t="s">
        <v>13</v>
      </c>
      <c r="C5" s="4">
        <v>0.44</v>
      </c>
      <c r="D5" s="4">
        <f>(Table1[[#This Row],[ACCURACY]]-0.25)/(1-0.25)</f>
        <v>0.25333333333333335</v>
      </c>
      <c r="G5" s="5" t="s">
        <v>0</v>
      </c>
      <c r="H5" s="9" t="s">
        <v>13</v>
      </c>
      <c r="I5" s="7">
        <v>0.67</v>
      </c>
      <c r="J5" s="7">
        <f>(Table2[[#This Row],[ACCURACY]]-0.5)/(1-0.5)</f>
        <v>0.34000000000000008</v>
      </c>
    </row>
    <row r="6" spans="1:33" ht="15.75" x14ac:dyDescent="0.25">
      <c r="A6" s="2" t="s">
        <v>0</v>
      </c>
      <c r="B6" s="1" t="s">
        <v>14</v>
      </c>
      <c r="C6" s="4">
        <v>0.74</v>
      </c>
      <c r="D6" s="4">
        <f>(Table1[[#This Row],[ACCURACY]]-0.25)/(1-0.25)</f>
        <v>0.65333333333333332</v>
      </c>
      <c r="G6" s="5" t="s">
        <v>0</v>
      </c>
      <c r="H6" s="9" t="s">
        <v>14</v>
      </c>
      <c r="I6" s="7">
        <v>0.82</v>
      </c>
      <c r="J6" s="7">
        <f>(Table2[[#This Row],[ACCURACY]]-0.5)/(1-0.5)</f>
        <v>0.6399999999999999</v>
      </c>
    </row>
    <row r="7" spans="1:33" ht="15.75" x14ac:dyDescent="0.25">
      <c r="A7" s="2" t="s">
        <v>0</v>
      </c>
      <c r="B7" s="1" t="s">
        <v>15</v>
      </c>
      <c r="C7" s="4">
        <v>0.86</v>
      </c>
      <c r="D7" s="4">
        <f>(Table1[[#This Row],[ACCURACY]]-0.25)/(1-0.25)</f>
        <v>0.81333333333333335</v>
      </c>
      <c r="G7" s="5" t="s">
        <v>0</v>
      </c>
      <c r="H7" s="9" t="s">
        <v>15</v>
      </c>
      <c r="I7" s="7">
        <v>0.94</v>
      </c>
      <c r="J7" s="7">
        <f>(Table2[[#This Row],[ACCURACY]]-0.5)/(1-0.5)</f>
        <v>0.87999999999999989</v>
      </c>
    </row>
    <row r="8" spans="1:33" ht="15.75" x14ac:dyDescent="0.25">
      <c r="A8" s="2" t="s">
        <v>0</v>
      </c>
      <c r="B8" s="1" t="s">
        <v>16</v>
      </c>
      <c r="C8" s="4">
        <v>0.94</v>
      </c>
      <c r="D8" s="4">
        <f>(Table1[[#This Row],[ACCURACY]]-0.25)/(1-0.25)</f>
        <v>0.91999999999999993</v>
      </c>
      <c r="G8" s="5" t="s">
        <v>0</v>
      </c>
      <c r="H8" s="9" t="s">
        <v>16</v>
      </c>
      <c r="I8" s="7">
        <v>0.95</v>
      </c>
      <c r="J8" s="7">
        <f>(Table2[[#This Row],[ACCURACY]]-0.5)/(1-0.5)</f>
        <v>0.89999999999999991</v>
      </c>
    </row>
    <row r="9" spans="1:33" ht="15.75" x14ac:dyDescent="0.25">
      <c r="A9" s="2" t="s">
        <v>0</v>
      </c>
      <c r="B9" s="1" t="s">
        <v>17</v>
      </c>
      <c r="C9" s="4">
        <v>0.79</v>
      </c>
      <c r="D9" s="4">
        <f>(Table1[[#This Row],[ACCURACY]]-0.25)/(1-0.25)</f>
        <v>0.72000000000000008</v>
      </c>
      <c r="G9" s="5" t="s">
        <v>0</v>
      </c>
      <c r="H9" s="9" t="s">
        <v>17</v>
      </c>
      <c r="I9" s="7">
        <v>0.93</v>
      </c>
      <c r="J9" s="7">
        <f>(Table2[[#This Row],[ACCURACY]]-0.5)/(1-0.5)</f>
        <v>0.8600000000000001</v>
      </c>
    </row>
    <row r="10" spans="1:33" ht="15.75" x14ac:dyDescent="0.25">
      <c r="A10" s="2" t="s">
        <v>0</v>
      </c>
      <c r="B10" s="1" t="s">
        <v>18</v>
      </c>
      <c r="C10" s="4">
        <v>0.82</v>
      </c>
      <c r="D10" s="4">
        <f>(Table1[[#This Row],[ACCURACY]]-0.25)/(1-0.25)</f>
        <v>0.7599999999999999</v>
      </c>
      <c r="G10" s="5" t="s">
        <v>0</v>
      </c>
      <c r="H10" s="9" t="s">
        <v>18</v>
      </c>
      <c r="I10" s="7">
        <v>0.93</v>
      </c>
      <c r="J10" s="7">
        <f>(Table2[[#This Row],[ACCURACY]]-0.5)/(1-0.5)</f>
        <v>0.8600000000000001</v>
      </c>
    </row>
    <row r="11" spans="1:33" ht="15.75" x14ac:dyDescent="0.25">
      <c r="A11" s="2" t="s">
        <v>1</v>
      </c>
      <c r="B11" s="1" t="s">
        <v>11</v>
      </c>
      <c r="C11" s="4">
        <v>0.43</v>
      </c>
      <c r="D11" s="4">
        <f>(Table1[[#This Row],[ACCURACY]]-0.25)/(1-0.25)</f>
        <v>0.24</v>
      </c>
      <c r="G11" s="5" t="s">
        <v>1</v>
      </c>
      <c r="H11" s="9" t="s">
        <v>11</v>
      </c>
      <c r="I11" s="7">
        <v>0.65</v>
      </c>
      <c r="J11" s="7">
        <f>(Table2[[#This Row],[ACCURACY]]-0.5)/(1-0.5)</f>
        <v>0.30000000000000004</v>
      </c>
      <c r="X11" s="34"/>
      <c r="Y11" s="32"/>
      <c r="AD11" s="18"/>
      <c r="AE11" s="31"/>
      <c r="AF11" s="31"/>
      <c r="AG11" s="30"/>
    </row>
    <row r="12" spans="1:33" ht="15.75" x14ac:dyDescent="0.25">
      <c r="A12" s="2" t="s">
        <v>1</v>
      </c>
      <c r="B12" s="1" t="s">
        <v>12</v>
      </c>
      <c r="C12" s="4">
        <v>0.56999999999999995</v>
      </c>
      <c r="D12" s="4">
        <f>(Table1[[#This Row],[ACCURACY]]-0.25)/(1-0.25)</f>
        <v>0.42666666666666658</v>
      </c>
      <c r="G12" s="5" t="s">
        <v>1</v>
      </c>
      <c r="H12" s="9" t="s">
        <v>12</v>
      </c>
      <c r="I12" s="7">
        <v>0.81</v>
      </c>
      <c r="J12" s="7">
        <f>(Table2[[#This Row],[ACCURACY]]-0.5)/(1-0.5)</f>
        <v>0.62000000000000011</v>
      </c>
      <c r="X12" s="35"/>
      <c r="Y12" s="36"/>
    </row>
    <row r="13" spans="1:33" ht="15.75" x14ac:dyDescent="0.25">
      <c r="A13" s="2" t="s">
        <v>1</v>
      </c>
      <c r="B13" s="1" t="s">
        <v>13</v>
      </c>
      <c r="C13" s="4">
        <v>0.39</v>
      </c>
      <c r="D13" s="4">
        <f>(Table1[[#This Row],[ACCURACY]]-0.25)/(1-0.25)</f>
        <v>0.18666666666666668</v>
      </c>
      <c r="G13" s="5" t="s">
        <v>1</v>
      </c>
      <c r="H13" s="9" t="s">
        <v>13</v>
      </c>
      <c r="I13" s="7">
        <v>0.57999999999999996</v>
      </c>
      <c r="J13" s="7">
        <f>(Table2[[#This Row],[ACCURACY]]-0.5)/(1-0.5)</f>
        <v>0.15999999999999992</v>
      </c>
      <c r="X13" s="37"/>
      <c r="Y13" s="38"/>
      <c r="Z13" s="33"/>
    </row>
    <row r="14" spans="1:33" ht="15.75" x14ac:dyDescent="0.25">
      <c r="A14" s="2" t="s">
        <v>1</v>
      </c>
      <c r="B14" s="1" t="s">
        <v>14</v>
      </c>
      <c r="C14" s="4">
        <v>0.63</v>
      </c>
      <c r="D14" s="4">
        <f>(Table1[[#This Row],[ACCURACY]]-0.25)/(1-0.25)</f>
        <v>0.50666666666666671</v>
      </c>
      <c r="G14" s="5" t="s">
        <v>1</v>
      </c>
      <c r="H14" s="9" t="s">
        <v>14</v>
      </c>
      <c r="I14" s="7">
        <v>0.7</v>
      </c>
      <c r="J14" s="7">
        <f>(Table2[[#This Row],[ACCURACY]]-0.5)/(1-0.5)</f>
        <v>0.39999999999999991</v>
      </c>
      <c r="X14" s="37"/>
      <c r="Y14" s="39"/>
    </row>
    <row r="15" spans="1:33" ht="15.75" x14ac:dyDescent="0.25">
      <c r="A15" s="2" t="s">
        <v>1</v>
      </c>
      <c r="B15" s="1" t="s">
        <v>15</v>
      </c>
      <c r="C15" s="4">
        <v>0.79</v>
      </c>
      <c r="D15" s="4">
        <f>(Table1[[#This Row],[ACCURACY]]-0.25)/(1-0.25)</f>
        <v>0.72000000000000008</v>
      </c>
      <c r="G15" s="5" t="s">
        <v>1</v>
      </c>
      <c r="H15" s="9" t="s">
        <v>15</v>
      </c>
      <c r="I15" s="7">
        <v>0.92</v>
      </c>
      <c r="J15" s="7">
        <f>(Table2[[#This Row],[ACCURACY]]-0.5)/(1-0.5)</f>
        <v>0.84000000000000008</v>
      </c>
      <c r="X15" s="40"/>
      <c r="Y15" s="39"/>
    </row>
    <row r="16" spans="1:33" ht="15.75" x14ac:dyDescent="0.25">
      <c r="A16" s="2" t="s">
        <v>1</v>
      </c>
      <c r="B16" s="1" t="s">
        <v>16</v>
      </c>
      <c r="C16" s="4">
        <v>0.84</v>
      </c>
      <c r="D16" s="4">
        <f>(Table1[[#This Row],[ACCURACY]]-0.25)/(1-0.25)</f>
        <v>0.78666666666666663</v>
      </c>
      <c r="G16" s="5" t="s">
        <v>1</v>
      </c>
      <c r="H16" s="9" t="s">
        <v>16</v>
      </c>
      <c r="I16" s="7">
        <v>0.97</v>
      </c>
      <c r="J16" s="7">
        <f>(Table2[[#This Row],[ACCURACY]]-0.5)/(1-0.5)</f>
        <v>0.94</v>
      </c>
      <c r="X16" s="40"/>
      <c r="Y16" s="39"/>
    </row>
    <row r="17" spans="1:25" ht="15.75" x14ac:dyDescent="0.25">
      <c r="A17" s="2" t="s">
        <v>1</v>
      </c>
      <c r="B17" s="1" t="s">
        <v>17</v>
      </c>
      <c r="C17" s="4">
        <v>0.72</v>
      </c>
      <c r="D17" s="4">
        <f>(Table1[[#This Row],[ACCURACY]]-0.25)/(1-0.25)</f>
        <v>0.62666666666666659</v>
      </c>
      <c r="G17" s="5" t="s">
        <v>1</v>
      </c>
      <c r="H17" s="9" t="s">
        <v>17</v>
      </c>
      <c r="I17" s="7">
        <v>0.9</v>
      </c>
      <c r="J17" s="7">
        <f>(Table2[[#This Row],[ACCURACY]]-0.5)/(1-0.5)</f>
        <v>0.8</v>
      </c>
      <c r="X17" s="37"/>
      <c r="Y17" s="41"/>
    </row>
    <row r="18" spans="1:25" ht="15.75" x14ac:dyDescent="0.25">
      <c r="A18" s="2" t="s">
        <v>1</v>
      </c>
      <c r="B18" s="1" t="s">
        <v>18</v>
      </c>
      <c r="C18" s="4">
        <v>0.78</v>
      </c>
      <c r="D18" s="4">
        <f>(Table1[[#This Row],[ACCURACY]]-0.25)/(1-0.25)</f>
        <v>0.70666666666666667</v>
      </c>
      <c r="G18" s="5" t="s">
        <v>1</v>
      </c>
      <c r="H18" s="9" t="s">
        <v>18</v>
      </c>
      <c r="I18" s="7">
        <v>0.87</v>
      </c>
      <c r="J18" s="7">
        <f>(Table2[[#This Row],[ACCURACY]]-0.5)/(1-0.5)</f>
        <v>0.74</v>
      </c>
      <c r="X18" s="40"/>
      <c r="Y18" s="39"/>
    </row>
    <row r="19" spans="1:25" ht="15.75" x14ac:dyDescent="0.25">
      <c r="A19" s="2" t="s">
        <v>2</v>
      </c>
      <c r="B19" s="1" t="s">
        <v>11</v>
      </c>
      <c r="C19" s="4">
        <v>0.52</v>
      </c>
      <c r="D19" s="4">
        <f>(Table1[[#This Row],[ACCURACY]]-0.25)/(1-0.25)</f>
        <v>0.36000000000000004</v>
      </c>
      <c r="G19" s="5" t="s">
        <v>2</v>
      </c>
      <c r="H19" s="9" t="s">
        <v>11</v>
      </c>
      <c r="I19" s="7">
        <v>0.67</v>
      </c>
      <c r="J19" s="7">
        <f>(Table2[[#This Row],[ACCURACY]]-0.5)/(1-0.5)</f>
        <v>0.34000000000000008</v>
      </c>
      <c r="X19" s="40"/>
      <c r="Y19" s="39"/>
    </row>
    <row r="20" spans="1:25" ht="15.75" x14ac:dyDescent="0.25">
      <c r="A20" s="2" t="s">
        <v>2</v>
      </c>
      <c r="B20" s="1" t="s">
        <v>12</v>
      </c>
      <c r="C20" s="4">
        <v>0.76</v>
      </c>
      <c r="D20" s="4">
        <f>(Table1[[#This Row],[ACCURACY]]-0.25)/(1-0.25)</f>
        <v>0.68</v>
      </c>
      <c r="G20" s="5" t="s">
        <v>2</v>
      </c>
      <c r="H20" s="9" t="s">
        <v>12</v>
      </c>
      <c r="I20" s="7">
        <v>0.81</v>
      </c>
      <c r="J20" s="7">
        <f>(Table2[[#This Row],[ACCURACY]]-0.5)/(1-0.5)</f>
        <v>0.62000000000000011</v>
      </c>
      <c r="X20" s="42"/>
      <c r="Y20" s="39"/>
    </row>
    <row r="21" spans="1:25" ht="15.75" x14ac:dyDescent="0.25">
      <c r="A21" s="2" t="s">
        <v>2</v>
      </c>
      <c r="B21" s="1" t="s">
        <v>13</v>
      </c>
      <c r="C21" s="4">
        <v>0.47</v>
      </c>
      <c r="D21" s="4">
        <f>(Table1[[#This Row],[ACCURACY]]-0.25)/(1-0.25)</f>
        <v>0.29333333333333328</v>
      </c>
      <c r="G21" s="5" t="s">
        <v>2</v>
      </c>
      <c r="H21" s="9" t="s">
        <v>13</v>
      </c>
      <c r="I21" s="7">
        <v>0.61</v>
      </c>
      <c r="J21" s="7">
        <f>(Table2[[#This Row],[ACCURACY]]-0.5)/(1-0.5)</f>
        <v>0.21999999999999997</v>
      </c>
      <c r="X21" s="43"/>
      <c r="Y21" s="43"/>
    </row>
    <row r="22" spans="1:25" ht="15.75" x14ac:dyDescent="0.25">
      <c r="A22" s="2" t="s">
        <v>2</v>
      </c>
      <c r="B22" s="1" t="s">
        <v>14</v>
      </c>
      <c r="C22" s="4">
        <v>0.72</v>
      </c>
      <c r="D22" s="4">
        <f>(Table1[[#This Row],[ACCURACY]]-0.25)/(1-0.25)</f>
        <v>0.62666666666666659</v>
      </c>
      <c r="G22" s="5" t="s">
        <v>2</v>
      </c>
      <c r="H22" s="9" t="s">
        <v>14</v>
      </c>
      <c r="I22" s="7">
        <v>0.69</v>
      </c>
      <c r="J22" s="7">
        <f>(Table2[[#This Row],[ACCURACY]]-0.5)/(1-0.5)</f>
        <v>0.37999999999999989</v>
      </c>
    </row>
    <row r="23" spans="1:25" ht="15.75" x14ac:dyDescent="0.25">
      <c r="A23" s="2" t="s">
        <v>2</v>
      </c>
      <c r="B23" s="1" t="s">
        <v>15</v>
      </c>
      <c r="C23" s="4">
        <v>0.93</v>
      </c>
      <c r="D23" s="4">
        <f>(Table1[[#This Row],[ACCURACY]]-0.25)/(1-0.25)</f>
        <v>0.90666666666666673</v>
      </c>
      <c r="G23" s="5" t="s">
        <v>2</v>
      </c>
      <c r="H23" s="9" t="s">
        <v>15</v>
      </c>
      <c r="I23" s="7">
        <v>0.96</v>
      </c>
      <c r="J23" s="7">
        <f>(Table2[[#This Row],[ACCURACY]]-0.5)/(1-0.5)</f>
        <v>0.91999999999999993</v>
      </c>
    </row>
    <row r="24" spans="1:25" ht="15.75" x14ac:dyDescent="0.25">
      <c r="A24" s="2" t="s">
        <v>2</v>
      </c>
      <c r="B24" s="1" t="s">
        <v>16</v>
      </c>
      <c r="C24" s="4">
        <v>0.96</v>
      </c>
      <c r="D24" s="4">
        <f>(Table1[[#This Row],[ACCURACY]]-0.25)/(1-0.25)</f>
        <v>0.94666666666666666</v>
      </c>
      <c r="G24" s="5" t="s">
        <v>2</v>
      </c>
      <c r="H24" s="9" t="s">
        <v>16</v>
      </c>
      <c r="I24" s="7">
        <v>0.96</v>
      </c>
      <c r="J24" s="7">
        <f>(Table2[[#This Row],[ACCURACY]]-0.5)/(1-0.5)</f>
        <v>0.91999999999999993</v>
      </c>
    </row>
    <row r="25" spans="1:25" ht="15.75" x14ac:dyDescent="0.25">
      <c r="A25" s="2" t="s">
        <v>2</v>
      </c>
      <c r="B25" s="1" t="s">
        <v>17</v>
      </c>
      <c r="C25" s="4">
        <v>0.88</v>
      </c>
      <c r="D25" s="4">
        <f>(Table1[[#This Row],[ACCURACY]]-0.25)/(1-0.25)</f>
        <v>0.84</v>
      </c>
      <c r="G25" s="5" t="s">
        <v>2</v>
      </c>
      <c r="H25" s="9" t="s">
        <v>17</v>
      </c>
      <c r="I25" s="7">
        <v>0.93</v>
      </c>
      <c r="J25" s="7">
        <f>(Table2[[#This Row],[ACCURACY]]-0.5)/(1-0.5)</f>
        <v>0.8600000000000001</v>
      </c>
    </row>
    <row r="26" spans="1:25" ht="15.75" x14ac:dyDescent="0.25">
      <c r="A26" s="2" t="s">
        <v>2</v>
      </c>
      <c r="B26" s="1" t="s">
        <v>18</v>
      </c>
      <c r="C26" s="4">
        <v>0.91</v>
      </c>
      <c r="D26" s="4">
        <f>(Table1[[#This Row],[ACCURACY]]-0.25)/(1-0.25)</f>
        <v>0.88</v>
      </c>
      <c r="G26" s="5" t="s">
        <v>2</v>
      </c>
      <c r="H26" s="9" t="s">
        <v>18</v>
      </c>
      <c r="I26" s="7">
        <v>0.92</v>
      </c>
      <c r="J26" s="7">
        <f>(Table2[[#This Row],[ACCURACY]]-0.5)/(1-0.5)</f>
        <v>0.84000000000000008</v>
      </c>
    </row>
    <row r="27" spans="1:25" ht="15.75" x14ac:dyDescent="0.25">
      <c r="A27" s="2" t="s">
        <v>3</v>
      </c>
      <c r="B27" s="1" t="s">
        <v>11</v>
      </c>
      <c r="C27" s="4">
        <v>0.45</v>
      </c>
      <c r="D27" s="4">
        <f>(Table1[[#This Row],[ACCURACY]]-0.25)/(1-0.25)</f>
        <v>0.26666666666666666</v>
      </c>
      <c r="G27" s="5" t="s">
        <v>3</v>
      </c>
      <c r="H27" s="9" t="s">
        <v>11</v>
      </c>
      <c r="I27" s="7">
        <v>0.82</v>
      </c>
      <c r="J27" s="7">
        <f>(Table2[[#This Row],[ACCURACY]]-0.5)/(1-0.5)</f>
        <v>0.6399999999999999</v>
      </c>
    </row>
    <row r="28" spans="1:25" ht="15.75" x14ac:dyDescent="0.25">
      <c r="A28" s="2" t="s">
        <v>3</v>
      </c>
      <c r="B28" s="1" t="s">
        <v>12</v>
      </c>
      <c r="C28" s="4">
        <v>0.69</v>
      </c>
      <c r="D28" s="4">
        <f>(Table1[[#This Row],[ACCURACY]]-0.25)/(1-0.25)</f>
        <v>0.58666666666666656</v>
      </c>
      <c r="G28" s="5" t="s">
        <v>3</v>
      </c>
      <c r="H28" s="9" t="s">
        <v>12</v>
      </c>
      <c r="I28" s="7">
        <v>0.85</v>
      </c>
      <c r="J28" s="7">
        <f>(Table2[[#This Row],[ACCURACY]]-0.5)/(1-0.5)</f>
        <v>0.7</v>
      </c>
    </row>
    <row r="29" spans="1:25" ht="15.75" x14ac:dyDescent="0.25">
      <c r="A29" s="2" t="s">
        <v>3</v>
      </c>
      <c r="B29" s="1" t="s">
        <v>13</v>
      </c>
      <c r="C29" s="4">
        <v>0.37</v>
      </c>
      <c r="D29" s="4">
        <f>(Table1[[#This Row],[ACCURACY]]-0.25)/(1-0.25)</f>
        <v>0.16</v>
      </c>
      <c r="G29" s="5" t="s">
        <v>3</v>
      </c>
      <c r="H29" s="9" t="s">
        <v>13</v>
      </c>
      <c r="I29" s="7">
        <v>0.72</v>
      </c>
      <c r="J29" s="7">
        <f>(Table2[[#This Row],[ACCURACY]]-0.5)/(1-0.5)</f>
        <v>0.43999999999999995</v>
      </c>
    </row>
    <row r="30" spans="1:25" ht="15.75" x14ac:dyDescent="0.25">
      <c r="A30" s="2" t="s">
        <v>3</v>
      </c>
      <c r="B30" s="1" t="s">
        <v>14</v>
      </c>
      <c r="C30" s="4">
        <v>0.46</v>
      </c>
      <c r="D30" s="4">
        <f>(Table1[[#This Row],[ACCURACY]]-0.25)/(1-0.25)</f>
        <v>0.28000000000000003</v>
      </c>
      <c r="G30" s="5" t="s">
        <v>3</v>
      </c>
      <c r="H30" s="9" t="s">
        <v>14</v>
      </c>
      <c r="I30" s="7">
        <v>0.81</v>
      </c>
      <c r="J30" s="7">
        <f>(Table2[[#This Row],[ACCURACY]]-0.5)/(1-0.5)</f>
        <v>0.62000000000000011</v>
      </c>
    </row>
    <row r="31" spans="1:25" ht="15.75" x14ac:dyDescent="0.25">
      <c r="A31" s="2" t="s">
        <v>3</v>
      </c>
      <c r="B31" s="1" t="s">
        <v>15</v>
      </c>
      <c r="C31" s="4">
        <v>0.82</v>
      </c>
      <c r="D31" s="4">
        <f>(Table1[[#This Row],[ACCURACY]]-0.25)/(1-0.25)</f>
        <v>0.7599999999999999</v>
      </c>
      <c r="G31" s="5" t="s">
        <v>3</v>
      </c>
      <c r="H31" s="9" t="s">
        <v>15</v>
      </c>
      <c r="I31" s="7">
        <v>0.96</v>
      </c>
      <c r="J31" s="7">
        <f>(Table2[[#This Row],[ACCURACY]]-0.5)/(1-0.5)</f>
        <v>0.91999999999999993</v>
      </c>
    </row>
    <row r="32" spans="1:25" ht="15.75" x14ac:dyDescent="0.25">
      <c r="A32" s="2" t="s">
        <v>3</v>
      </c>
      <c r="B32" s="1" t="s">
        <v>16</v>
      </c>
      <c r="C32" s="4">
        <v>0.81</v>
      </c>
      <c r="D32" s="4">
        <f>(Table1[[#This Row],[ACCURACY]]-0.25)/(1-0.25)</f>
        <v>0.7466666666666667</v>
      </c>
      <c r="G32" s="5" t="s">
        <v>3</v>
      </c>
      <c r="H32" s="9" t="s">
        <v>16</v>
      </c>
      <c r="I32" s="7">
        <v>0.96</v>
      </c>
      <c r="J32" s="7">
        <f>(Table2[[#This Row],[ACCURACY]]-0.5)/(1-0.5)</f>
        <v>0.91999999999999993</v>
      </c>
    </row>
    <row r="33" spans="1:10" ht="15.75" x14ac:dyDescent="0.25">
      <c r="A33" s="2" t="s">
        <v>3</v>
      </c>
      <c r="B33" s="1" t="s">
        <v>17</v>
      </c>
      <c r="C33" s="4">
        <v>0.76</v>
      </c>
      <c r="D33" s="4">
        <f>(Table1[[#This Row],[ACCURACY]]-0.25)/(1-0.25)</f>
        <v>0.68</v>
      </c>
      <c r="G33" s="5" t="s">
        <v>3</v>
      </c>
      <c r="H33" s="9" t="s">
        <v>17</v>
      </c>
      <c r="I33" s="7">
        <v>0.95</v>
      </c>
      <c r="J33" s="7">
        <f>(Table2[[#This Row],[ACCURACY]]-0.5)/(1-0.5)</f>
        <v>0.89999999999999991</v>
      </c>
    </row>
    <row r="34" spans="1:10" ht="15.75" x14ac:dyDescent="0.25">
      <c r="A34" s="2" t="s">
        <v>3</v>
      </c>
      <c r="B34" s="1" t="s">
        <v>18</v>
      </c>
      <c r="C34" s="4">
        <v>0.62</v>
      </c>
      <c r="D34" s="4">
        <f>(Table1[[#This Row],[ACCURACY]]-0.25)/(1-0.25)</f>
        <v>0.49333333333333335</v>
      </c>
      <c r="G34" s="5" t="s">
        <v>3</v>
      </c>
      <c r="H34" s="9" t="s">
        <v>18</v>
      </c>
      <c r="I34" s="7">
        <v>0.88</v>
      </c>
      <c r="J34" s="7">
        <f>(Table2[[#This Row],[ACCURACY]]-0.5)/(1-0.5)</f>
        <v>0.76</v>
      </c>
    </row>
    <row r="35" spans="1:10" ht="15.75" x14ac:dyDescent="0.25">
      <c r="A35" s="2" t="s">
        <v>4</v>
      </c>
      <c r="B35" s="1" t="s">
        <v>11</v>
      </c>
      <c r="C35" s="4">
        <v>0.47</v>
      </c>
      <c r="D35" s="4">
        <f>(Table1[[#This Row],[ACCURACY]]-0.25)/(1-0.25)</f>
        <v>0.29333333333333328</v>
      </c>
      <c r="G35" s="5" t="s">
        <v>4</v>
      </c>
      <c r="H35" s="9" t="s">
        <v>11</v>
      </c>
      <c r="I35" s="7">
        <v>0.64</v>
      </c>
      <c r="J35" s="7">
        <f>(Table2[[#This Row],[ACCURACY]]-0.5)/(1-0.5)</f>
        <v>0.28000000000000003</v>
      </c>
    </row>
    <row r="36" spans="1:10" ht="15.75" x14ac:dyDescent="0.25">
      <c r="A36" s="2" t="s">
        <v>4</v>
      </c>
      <c r="B36" s="1" t="s">
        <v>12</v>
      </c>
      <c r="C36" s="4">
        <v>0.57999999999999996</v>
      </c>
      <c r="D36" s="4">
        <f>(Table1[[#This Row],[ACCURACY]]-0.25)/(1-0.25)</f>
        <v>0.43999999999999995</v>
      </c>
      <c r="G36" s="5" t="s">
        <v>4</v>
      </c>
      <c r="H36" s="9" t="s">
        <v>12</v>
      </c>
      <c r="I36" s="7">
        <v>0.86</v>
      </c>
      <c r="J36" s="7">
        <f>(Table2[[#This Row],[ACCURACY]]-0.5)/(1-0.5)</f>
        <v>0.72</v>
      </c>
    </row>
    <row r="37" spans="1:10" ht="15.75" x14ac:dyDescent="0.25">
      <c r="A37" s="2" t="s">
        <v>4</v>
      </c>
      <c r="B37" s="1" t="s">
        <v>13</v>
      </c>
      <c r="C37" s="4">
        <v>0.32</v>
      </c>
      <c r="D37" s="4">
        <f>(Table1[[#This Row],[ACCURACY]]-0.25)/(1-0.25)</f>
        <v>9.3333333333333338E-2</v>
      </c>
      <c r="G37" s="5" t="s">
        <v>4</v>
      </c>
      <c r="H37" s="9" t="s">
        <v>13</v>
      </c>
      <c r="I37" s="7">
        <v>0.65</v>
      </c>
      <c r="J37" s="7">
        <f>(Table2[[#This Row],[ACCURACY]]-0.5)/(1-0.5)</f>
        <v>0.30000000000000004</v>
      </c>
    </row>
    <row r="38" spans="1:10" ht="15.75" x14ac:dyDescent="0.25">
      <c r="A38" s="2" t="s">
        <v>4</v>
      </c>
      <c r="B38" s="1" t="s">
        <v>14</v>
      </c>
      <c r="C38" s="4">
        <v>0.55000000000000004</v>
      </c>
      <c r="D38" s="4">
        <f>(Table1[[#This Row],[ACCURACY]]-0.25)/(1-0.25)</f>
        <v>0.40000000000000008</v>
      </c>
      <c r="G38" s="5" t="s">
        <v>4</v>
      </c>
      <c r="H38" s="9" t="s">
        <v>14</v>
      </c>
      <c r="I38" s="7">
        <v>0.67</v>
      </c>
      <c r="J38" s="7">
        <f>(Table2[[#This Row],[ACCURACY]]-0.5)/(1-0.5)</f>
        <v>0.34000000000000008</v>
      </c>
    </row>
    <row r="39" spans="1:10" ht="15.75" x14ac:dyDescent="0.25">
      <c r="A39" s="2" t="s">
        <v>4</v>
      </c>
      <c r="B39" s="1" t="s">
        <v>15</v>
      </c>
      <c r="C39" s="4">
        <v>0.83</v>
      </c>
      <c r="D39" s="4">
        <f>(Table1[[#This Row],[ACCURACY]]-0.25)/(1-0.25)</f>
        <v>0.77333333333333332</v>
      </c>
      <c r="G39" s="5" t="s">
        <v>4</v>
      </c>
      <c r="H39" s="9" t="s">
        <v>15</v>
      </c>
      <c r="I39" s="7">
        <v>0.95</v>
      </c>
      <c r="J39" s="7">
        <f>(Table2[[#This Row],[ACCURACY]]-0.5)/(1-0.5)</f>
        <v>0.89999999999999991</v>
      </c>
    </row>
    <row r="40" spans="1:10" ht="15.75" x14ac:dyDescent="0.25">
      <c r="A40" s="2" t="s">
        <v>4</v>
      </c>
      <c r="B40" s="1" t="s">
        <v>16</v>
      </c>
      <c r="C40" s="4">
        <v>0.81</v>
      </c>
      <c r="D40" s="4">
        <f>(Table1[[#This Row],[ACCURACY]]-0.25)/(1-0.25)</f>
        <v>0.7466666666666667</v>
      </c>
      <c r="G40" s="5" t="s">
        <v>4</v>
      </c>
      <c r="H40" s="9" t="s">
        <v>16</v>
      </c>
      <c r="I40" s="7">
        <v>0.98</v>
      </c>
      <c r="J40" s="7">
        <f>(Table2[[#This Row],[ACCURACY]]-0.5)/(1-0.5)</f>
        <v>0.96</v>
      </c>
    </row>
    <row r="41" spans="1:10" ht="15.75" x14ac:dyDescent="0.25">
      <c r="A41" s="2" t="s">
        <v>4</v>
      </c>
      <c r="B41" s="1" t="s">
        <v>17</v>
      </c>
      <c r="C41" s="4">
        <v>0.71</v>
      </c>
      <c r="D41" s="4">
        <f>(Table1[[#This Row],[ACCURACY]]-0.25)/(1-0.25)</f>
        <v>0.61333333333333329</v>
      </c>
      <c r="G41" s="5" t="s">
        <v>4</v>
      </c>
      <c r="H41" s="9" t="s">
        <v>17</v>
      </c>
      <c r="I41" s="7">
        <v>0.98</v>
      </c>
      <c r="J41" s="7">
        <f>(Table2[[#This Row],[ACCURACY]]-0.5)/(1-0.5)</f>
        <v>0.96</v>
      </c>
    </row>
    <row r="42" spans="1:10" ht="15.75" x14ac:dyDescent="0.25">
      <c r="A42" s="2" t="s">
        <v>4</v>
      </c>
      <c r="B42" s="1" t="s">
        <v>18</v>
      </c>
      <c r="C42" s="4">
        <v>0.71</v>
      </c>
      <c r="D42" s="4">
        <f>(Table1[[#This Row],[ACCURACY]]-0.25)/(1-0.25)</f>
        <v>0.61333333333333329</v>
      </c>
      <c r="G42" s="5" t="s">
        <v>4</v>
      </c>
      <c r="H42" s="9" t="s">
        <v>18</v>
      </c>
      <c r="I42" s="7">
        <v>0.93</v>
      </c>
      <c r="J42" s="7">
        <f>(Table2[[#This Row],[ACCURACY]]-0.5)/(1-0.5)</f>
        <v>0.8600000000000001</v>
      </c>
    </row>
    <row r="43" spans="1:10" ht="15.75" x14ac:dyDescent="0.25">
      <c r="A43" s="2" t="s">
        <v>5</v>
      </c>
      <c r="B43" s="1" t="s">
        <v>11</v>
      </c>
      <c r="C43" s="4">
        <v>0.4</v>
      </c>
      <c r="D43" s="4">
        <f>(Table1[[#This Row],[ACCURACY]]-0.25)/(1-0.25)</f>
        <v>0.20000000000000004</v>
      </c>
      <c r="G43" s="5" t="s">
        <v>5</v>
      </c>
      <c r="H43" s="9" t="s">
        <v>11</v>
      </c>
      <c r="I43" s="7">
        <v>0.88</v>
      </c>
      <c r="J43" s="7">
        <f>(Table2[[#This Row],[ACCURACY]]-0.5)/(1-0.5)</f>
        <v>0.76</v>
      </c>
    </row>
    <row r="44" spans="1:10" ht="15.75" x14ac:dyDescent="0.25">
      <c r="A44" s="2" t="s">
        <v>5</v>
      </c>
      <c r="B44" s="1" t="s">
        <v>12</v>
      </c>
      <c r="C44" s="4">
        <v>0.64</v>
      </c>
      <c r="D44" s="4">
        <f>(Table1[[#This Row],[ACCURACY]]-0.25)/(1-0.25)</f>
        <v>0.52</v>
      </c>
      <c r="G44" s="5" t="s">
        <v>5</v>
      </c>
      <c r="H44" s="9" t="s">
        <v>12</v>
      </c>
      <c r="I44" s="7">
        <v>0.99</v>
      </c>
      <c r="J44" s="7">
        <f>(Table2[[#This Row],[ACCURACY]]-0.5)/(1-0.5)</f>
        <v>0.98</v>
      </c>
    </row>
    <row r="45" spans="1:10" ht="15.75" x14ac:dyDescent="0.25">
      <c r="A45" s="2" t="s">
        <v>5</v>
      </c>
      <c r="B45" s="1" t="s">
        <v>13</v>
      </c>
      <c r="C45" s="4">
        <v>0.28000000000000003</v>
      </c>
      <c r="D45" s="4">
        <f>(Table1[[#This Row],[ACCURACY]]-0.25)/(1-0.25)</f>
        <v>4.0000000000000036E-2</v>
      </c>
      <c r="G45" s="5" t="s">
        <v>5</v>
      </c>
      <c r="H45" s="9" t="s">
        <v>13</v>
      </c>
      <c r="I45" s="7">
        <v>0.86</v>
      </c>
      <c r="J45" s="7">
        <f>(Table2[[#This Row],[ACCURACY]]-0.5)/(1-0.5)</f>
        <v>0.72</v>
      </c>
    </row>
    <row r="46" spans="1:10" ht="15.75" x14ac:dyDescent="0.25">
      <c r="A46" s="2" t="s">
        <v>5</v>
      </c>
      <c r="B46" s="1" t="s">
        <v>14</v>
      </c>
      <c r="C46" s="4">
        <v>0.42</v>
      </c>
      <c r="D46" s="4">
        <f>(Table1[[#This Row],[ACCURACY]]-0.25)/(1-0.25)</f>
        <v>0.22666666666666666</v>
      </c>
      <c r="G46" s="5" t="s">
        <v>5</v>
      </c>
      <c r="H46" s="9" t="s">
        <v>14</v>
      </c>
      <c r="I46" s="7">
        <v>0.94</v>
      </c>
      <c r="J46" s="7">
        <f>(Table2[[#This Row],[ACCURACY]]-0.5)/(1-0.5)</f>
        <v>0.87999999999999989</v>
      </c>
    </row>
    <row r="47" spans="1:10" ht="15.75" x14ac:dyDescent="0.25">
      <c r="A47" s="2" t="s">
        <v>5</v>
      </c>
      <c r="B47" s="1" t="s">
        <v>15</v>
      </c>
      <c r="C47" s="4">
        <v>0.78</v>
      </c>
      <c r="D47" s="4">
        <f>(Table1[[#This Row],[ACCURACY]]-0.25)/(1-0.25)</f>
        <v>0.70666666666666667</v>
      </c>
      <c r="G47" s="5" t="s">
        <v>5</v>
      </c>
      <c r="H47" s="9" t="s">
        <v>15</v>
      </c>
      <c r="I47" s="7">
        <v>1</v>
      </c>
      <c r="J47" s="7">
        <f>(Table2[[#This Row],[ACCURACY]]-0.5)/(1-0.5)</f>
        <v>1</v>
      </c>
    </row>
    <row r="48" spans="1:10" ht="15.75" x14ac:dyDescent="0.25">
      <c r="A48" s="2" t="s">
        <v>5</v>
      </c>
      <c r="B48" s="1" t="s">
        <v>16</v>
      </c>
      <c r="C48" s="4">
        <v>0.84</v>
      </c>
      <c r="D48" s="4">
        <f>(Table1[[#This Row],[ACCURACY]]-0.25)/(1-0.25)</f>
        <v>0.78666666666666663</v>
      </c>
      <c r="G48" s="5" t="s">
        <v>5</v>
      </c>
      <c r="H48" s="9" t="s">
        <v>16</v>
      </c>
      <c r="I48" s="7">
        <v>1</v>
      </c>
      <c r="J48" s="7">
        <f>(Table2[[#This Row],[ACCURACY]]-0.5)/(1-0.5)</f>
        <v>1</v>
      </c>
    </row>
    <row r="49" spans="1:10" ht="15.75" x14ac:dyDescent="0.25">
      <c r="A49" s="2" t="s">
        <v>5</v>
      </c>
      <c r="B49" s="1" t="s">
        <v>17</v>
      </c>
      <c r="C49" s="4">
        <v>0.72</v>
      </c>
      <c r="D49" s="4">
        <f>(Table1[[#This Row],[ACCURACY]]-0.25)/(1-0.25)</f>
        <v>0.62666666666666659</v>
      </c>
      <c r="G49" s="5" t="s">
        <v>5</v>
      </c>
      <c r="H49" s="9" t="s">
        <v>17</v>
      </c>
      <c r="I49" s="7">
        <v>1</v>
      </c>
      <c r="J49" s="7">
        <f>(Table2[[#This Row],[ACCURACY]]-0.5)/(1-0.5)</f>
        <v>1</v>
      </c>
    </row>
    <row r="50" spans="1:10" ht="15.75" x14ac:dyDescent="0.25">
      <c r="A50" s="2" t="s">
        <v>5</v>
      </c>
      <c r="B50" s="1" t="s">
        <v>18</v>
      </c>
      <c r="C50" s="4">
        <v>0.68</v>
      </c>
      <c r="D50" s="4">
        <f>(Table1[[#This Row],[ACCURACY]]-0.25)/(1-0.25)</f>
        <v>0.57333333333333336</v>
      </c>
      <c r="G50" s="5" t="s">
        <v>5</v>
      </c>
      <c r="H50" s="9" t="s">
        <v>18</v>
      </c>
      <c r="I50" s="7">
        <v>0.99</v>
      </c>
      <c r="J50" s="7">
        <f>(Table2[[#This Row],[ACCURACY]]-0.5)/(1-0.5)</f>
        <v>0.98</v>
      </c>
    </row>
    <row r="51" spans="1:10" ht="15.75" x14ac:dyDescent="0.25">
      <c r="A51" s="2"/>
      <c r="B51" s="1"/>
      <c r="C51" s="4"/>
      <c r="D51" s="4"/>
    </row>
  </sheetData>
  <mergeCells count="2">
    <mergeCell ref="A1:D1"/>
    <mergeCell ref="G1:J1"/>
  </mergeCells>
  <pageMargins left="0.25" right="0.25" top="0.75" bottom="0.75" header="0.3" footer="0.3"/>
  <pageSetup scale="90" fitToHeight="0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11D1-1A5C-4F9C-B081-DD5586BAA7E5}">
  <dimension ref="A1:C7"/>
  <sheetViews>
    <sheetView workbookViewId="0">
      <selection activeCell="C15" sqref="C15"/>
    </sheetView>
  </sheetViews>
  <sheetFormatPr defaultRowHeight="15" x14ac:dyDescent="0.25"/>
  <cols>
    <col min="1" max="1" width="14" bestFit="1" customWidth="1"/>
    <col min="2" max="2" width="11.42578125" bestFit="1" customWidth="1"/>
    <col min="3" max="3" width="16.85546875" bestFit="1" customWidth="1"/>
  </cols>
  <sheetData>
    <row r="1" spans="1:3" x14ac:dyDescent="0.25">
      <c r="A1" s="6" t="s">
        <v>25</v>
      </c>
      <c r="B1" s="6" t="s">
        <v>38</v>
      </c>
      <c r="C1" s="21" t="s">
        <v>43</v>
      </c>
    </row>
    <row r="2" spans="1:3" x14ac:dyDescent="0.25">
      <c r="A2" s="6" t="s">
        <v>0</v>
      </c>
      <c r="B2" s="6" t="s">
        <v>39</v>
      </c>
      <c r="C2" s="21" t="s">
        <v>44</v>
      </c>
    </row>
    <row r="3" spans="1:3" x14ac:dyDescent="0.25">
      <c r="A3" s="6" t="s">
        <v>2</v>
      </c>
      <c r="B3" s="6" t="s">
        <v>39</v>
      </c>
      <c r="C3" s="21" t="s">
        <v>44</v>
      </c>
    </row>
    <row r="4" spans="1:3" x14ac:dyDescent="0.25">
      <c r="A4" s="6" t="s">
        <v>4</v>
      </c>
      <c r="B4" s="6" t="s">
        <v>41</v>
      </c>
      <c r="C4" s="21" t="s">
        <v>44</v>
      </c>
    </row>
    <row r="5" spans="1:3" x14ac:dyDescent="0.25">
      <c r="A5" s="6" t="s">
        <v>1</v>
      </c>
      <c r="B5" s="6" t="s">
        <v>40</v>
      </c>
      <c r="C5" s="21" t="s">
        <v>44</v>
      </c>
    </row>
    <row r="6" spans="1:3" x14ac:dyDescent="0.25">
      <c r="A6" s="6" t="s">
        <v>5</v>
      </c>
      <c r="B6" s="6" t="s">
        <v>40</v>
      </c>
      <c r="C6" s="21" t="s">
        <v>45</v>
      </c>
    </row>
    <row r="7" spans="1:3" x14ac:dyDescent="0.25">
      <c r="A7" s="6" t="s">
        <v>3</v>
      </c>
      <c r="B7" s="6" t="s">
        <v>42</v>
      </c>
      <c r="C7" s="2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2C30-0A78-4C24-94B4-C2508A2383DB}">
  <dimension ref="A1:C3"/>
  <sheetViews>
    <sheetView workbookViewId="0">
      <selection activeCell="C27" sqref="C27"/>
    </sheetView>
  </sheetViews>
  <sheetFormatPr defaultRowHeight="15" x14ac:dyDescent="0.25"/>
  <cols>
    <col min="1" max="1" width="21" bestFit="1" customWidth="1"/>
    <col min="2" max="2" width="12.5703125" bestFit="1" customWidth="1"/>
    <col min="3" max="3" width="13.85546875" bestFit="1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s="11">
        <v>0.36109999999999998</v>
      </c>
      <c r="C2" s="11">
        <f>AVERAGE('Overall Summary'!J3:J6,'Overall Summary'!J11:J14,'Overall Summary'!J19:J22,'Overall Summary'!J27:J30,'Overall Summary'!J35:J38,'Overall Summary'!J43:J46)</f>
        <v>0.52500000000000002</v>
      </c>
    </row>
    <row r="3" spans="1:3" x14ac:dyDescent="0.25">
      <c r="A3" t="s">
        <v>24</v>
      </c>
      <c r="B3" s="11">
        <v>0.73950000000000005</v>
      </c>
      <c r="C3" s="11">
        <f>AVERAGE('Overall Summary'!J7:J10,'Overall Summary'!J15:J18,'Overall Summary'!J23:J26,'Overall Summary'!J31:J34,'Overall Summary'!J39:J42,'Overall Summary'!J47:J50)</f>
        <v>0.89666666666666661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F272-480F-475B-B70A-8FE22FA12AE6}">
  <dimension ref="A1:D9"/>
  <sheetViews>
    <sheetView workbookViewId="0">
      <selection activeCell="B31" sqref="B31"/>
    </sheetView>
  </sheetViews>
  <sheetFormatPr defaultRowHeight="15" x14ac:dyDescent="0.25"/>
  <cols>
    <col min="1" max="1" width="11.7109375" bestFit="1" customWidth="1"/>
    <col min="2" max="2" width="38.7109375" bestFit="1" customWidth="1"/>
    <col min="3" max="3" width="12.5703125" bestFit="1" customWidth="1"/>
    <col min="4" max="4" width="13.85546875" bestFit="1" customWidth="1"/>
  </cols>
  <sheetData>
    <row r="1" spans="1:4" x14ac:dyDescent="0.25">
      <c r="A1" t="s">
        <v>25</v>
      </c>
      <c r="B1" t="s">
        <v>20</v>
      </c>
      <c r="C1" t="s">
        <v>21</v>
      </c>
      <c r="D1" t="s">
        <v>22</v>
      </c>
    </row>
    <row r="2" spans="1:4" ht="15.75" x14ac:dyDescent="0.25">
      <c r="A2" t="s">
        <v>0</v>
      </c>
      <c r="B2" s="12" t="s">
        <v>11</v>
      </c>
      <c r="C2" s="16">
        <v>0.36000000000000004</v>
      </c>
      <c r="D2" s="16">
        <v>0.48</v>
      </c>
    </row>
    <row r="3" spans="1:4" ht="15.75" x14ac:dyDescent="0.25">
      <c r="A3" t="s">
        <v>0</v>
      </c>
      <c r="B3" s="13" t="s">
        <v>12</v>
      </c>
      <c r="C3" s="16">
        <v>0.57333333333333336</v>
      </c>
      <c r="D3" s="16">
        <v>0.72</v>
      </c>
    </row>
    <row r="4" spans="1:4" ht="15.75" x14ac:dyDescent="0.25">
      <c r="A4" t="s">
        <v>0</v>
      </c>
      <c r="B4" s="12" t="s">
        <v>13</v>
      </c>
      <c r="C4" s="16">
        <v>0.25333333333333335</v>
      </c>
      <c r="D4" s="16">
        <v>0.34000000000000008</v>
      </c>
    </row>
    <row r="5" spans="1:4" ht="15.75" x14ac:dyDescent="0.25">
      <c r="A5" t="s">
        <v>0</v>
      </c>
      <c r="B5" s="13" t="s">
        <v>14</v>
      </c>
      <c r="C5" s="16">
        <v>0.65333333333333332</v>
      </c>
      <c r="D5" s="16">
        <v>0.6399999999999999</v>
      </c>
    </row>
    <row r="6" spans="1:4" ht="15.75" x14ac:dyDescent="0.25">
      <c r="A6" t="s">
        <v>0</v>
      </c>
      <c r="B6" s="12" t="s">
        <v>15</v>
      </c>
      <c r="C6" s="16">
        <v>0.81333333333333335</v>
      </c>
      <c r="D6" s="16">
        <v>0.87999999999999989</v>
      </c>
    </row>
    <row r="7" spans="1:4" ht="15.75" x14ac:dyDescent="0.25">
      <c r="A7" t="s">
        <v>0</v>
      </c>
      <c r="B7" s="13" t="s">
        <v>16</v>
      </c>
      <c r="C7" s="16">
        <v>0.91999999999999993</v>
      </c>
      <c r="D7" s="16">
        <v>0.89999999999999991</v>
      </c>
    </row>
    <row r="8" spans="1:4" ht="15.75" x14ac:dyDescent="0.25">
      <c r="A8" t="s">
        <v>0</v>
      </c>
      <c r="B8" s="12" t="s">
        <v>17</v>
      </c>
      <c r="C8" s="16">
        <v>0.72000000000000008</v>
      </c>
      <c r="D8" s="16">
        <v>0.8600000000000001</v>
      </c>
    </row>
    <row r="9" spans="1:4" ht="15.75" x14ac:dyDescent="0.25">
      <c r="A9" t="s">
        <v>0</v>
      </c>
      <c r="B9" s="13" t="s">
        <v>18</v>
      </c>
      <c r="C9" s="16">
        <v>0.7599999999999999</v>
      </c>
      <c r="D9" s="16">
        <v>0.8600000000000001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BE50-0084-4A30-BB4C-6597CC6C58D7}">
  <dimension ref="A1:E9"/>
  <sheetViews>
    <sheetView workbookViewId="0">
      <selection activeCell="B27" sqref="B27"/>
    </sheetView>
  </sheetViews>
  <sheetFormatPr defaultRowHeight="15" x14ac:dyDescent="0.25"/>
  <cols>
    <col min="1" max="1" width="25.28515625" bestFit="1" customWidth="1"/>
    <col min="2" max="2" width="20.28515625" bestFit="1" customWidth="1"/>
    <col min="3" max="3" width="21.5703125" bestFit="1" customWidth="1"/>
    <col min="4" max="4" width="23.85546875" bestFit="1" customWidth="1"/>
    <col min="5" max="5" width="25.140625" bestFit="1" customWidth="1"/>
  </cols>
  <sheetData>
    <row r="1" spans="1:5" x14ac:dyDescent="0.25">
      <c r="A1" t="s">
        <v>20</v>
      </c>
      <c r="B1" t="s">
        <v>26</v>
      </c>
      <c r="C1" t="s">
        <v>28</v>
      </c>
      <c r="D1" t="s">
        <v>27</v>
      </c>
      <c r="E1" t="s">
        <v>29</v>
      </c>
    </row>
    <row r="2" spans="1:5" ht="15.75" x14ac:dyDescent="0.25">
      <c r="A2" s="12" t="s">
        <v>30</v>
      </c>
      <c r="B2" s="14">
        <v>0.29333333333333328</v>
      </c>
      <c r="C2" s="16">
        <v>0.28000000000000003</v>
      </c>
      <c r="D2" s="14">
        <v>0.20000000000000004</v>
      </c>
      <c r="E2" s="16">
        <v>0.76</v>
      </c>
    </row>
    <row r="3" spans="1:5" ht="15.75" x14ac:dyDescent="0.25">
      <c r="A3" s="13" t="s">
        <v>31</v>
      </c>
      <c r="B3" s="15">
        <v>0.43999999999999995</v>
      </c>
      <c r="C3" s="16">
        <v>0.72</v>
      </c>
      <c r="D3" s="15">
        <v>0.52</v>
      </c>
      <c r="E3" s="16">
        <v>0.98</v>
      </c>
    </row>
    <row r="4" spans="1:5" ht="15.75" x14ac:dyDescent="0.25">
      <c r="A4" s="12" t="s">
        <v>32</v>
      </c>
      <c r="B4" s="14">
        <v>9.3333333333333338E-2</v>
      </c>
      <c r="C4" s="16">
        <v>0.30000000000000004</v>
      </c>
      <c r="D4" s="14">
        <v>4.0000000000000036E-2</v>
      </c>
      <c r="E4" s="16">
        <v>0.72</v>
      </c>
    </row>
    <row r="5" spans="1:5" ht="15.75" x14ac:dyDescent="0.25">
      <c r="A5" s="13" t="s">
        <v>33</v>
      </c>
      <c r="B5" s="15">
        <v>0.40000000000000008</v>
      </c>
      <c r="C5" s="16">
        <v>0.34000000000000008</v>
      </c>
      <c r="D5" s="15">
        <v>0.22666666666666666</v>
      </c>
      <c r="E5" s="16">
        <v>0.87999999999999989</v>
      </c>
    </row>
    <row r="6" spans="1:5" ht="15.75" x14ac:dyDescent="0.25">
      <c r="A6" s="12" t="s">
        <v>34</v>
      </c>
      <c r="B6" s="14">
        <v>0.77333333333333332</v>
      </c>
      <c r="C6" s="16">
        <v>0.89999999999999991</v>
      </c>
      <c r="D6" s="14">
        <v>0.70666666666666667</v>
      </c>
      <c r="E6" s="16">
        <v>1</v>
      </c>
    </row>
    <row r="7" spans="1:5" ht="15.75" x14ac:dyDescent="0.25">
      <c r="A7" s="13" t="s">
        <v>35</v>
      </c>
      <c r="B7" s="15">
        <v>0.7466666666666667</v>
      </c>
      <c r="C7" s="16">
        <v>0.96</v>
      </c>
      <c r="D7" s="15">
        <v>0.78666666666666663</v>
      </c>
      <c r="E7" s="16">
        <v>1</v>
      </c>
    </row>
    <row r="8" spans="1:5" ht="15.75" x14ac:dyDescent="0.25">
      <c r="A8" s="12" t="s">
        <v>36</v>
      </c>
      <c r="B8" s="14">
        <v>0.61333333333333329</v>
      </c>
      <c r="C8" s="16">
        <v>0.96</v>
      </c>
      <c r="D8" s="14">
        <v>0.62666666666666659</v>
      </c>
      <c r="E8" s="16">
        <v>1</v>
      </c>
    </row>
    <row r="9" spans="1:5" ht="15.75" x14ac:dyDescent="0.25">
      <c r="A9" s="17" t="s">
        <v>37</v>
      </c>
      <c r="B9" s="15">
        <v>0.61333333333333329</v>
      </c>
      <c r="C9" s="16">
        <v>0.8600000000000001</v>
      </c>
      <c r="D9" s="15">
        <v>0.57333333333333336</v>
      </c>
      <c r="E9" s="16">
        <v>0.98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26AE-1BB9-4003-B0ED-62FF5D435B55}">
  <dimension ref="A1:D7"/>
  <sheetViews>
    <sheetView workbookViewId="0">
      <selection activeCell="I21" sqref="I21"/>
    </sheetView>
  </sheetViews>
  <sheetFormatPr defaultRowHeight="15" x14ac:dyDescent="0.25"/>
  <cols>
    <col min="1" max="1" width="11.140625" bestFit="1" customWidth="1"/>
    <col min="2" max="2" width="22.140625" bestFit="1" customWidth="1"/>
    <col min="3" max="3" width="24.5703125" bestFit="1" customWidth="1"/>
    <col min="4" max="4" width="22.5703125" bestFit="1" customWidth="1"/>
  </cols>
  <sheetData>
    <row r="1" spans="1:4" x14ac:dyDescent="0.25">
      <c r="A1" s="24" t="s">
        <v>25</v>
      </c>
      <c r="B1" s="25" t="s">
        <v>30</v>
      </c>
      <c r="C1" s="25" t="s">
        <v>32</v>
      </c>
      <c r="D1" s="26" t="s">
        <v>33</v>
      </c>
    </row>
    <row r="2" spans="1:4" x14ac:dyDescent="0.25">
      <c r="A2" s="27" t="s">
        <v>0</v>
      </c>
      <c r="B2" s="28">
        <v>0.36000000000000004</v>
      </c>
      <c r="C2" s="28">
        <v>0.25333333333333335</v>
      </c>
      <c r="D2" s="19">
        <v>0.65333333333333332</v>
      </c>
    </row>
    <row r="3" spans="1:4" x14ac:dyDescent="0.25">
      <c r="A3" s="29" t="s">
        <v>2</v>
      </c>
      <c r="B3" s="19">
        <v>0.36000000000000004</v>
      </c>
      <c r="C3" s="19">
        <v>0.29333333333333328</v>
      </c>
      <c r="D3" s="20">
        <v>0.62666666666666659</v>
      </c>
    </row>
    <row r="4" spans="1:4" x14ac:dyDescent="0.25">
      <c r="A4" s="27" t="s">
        <v>1</v>
      </c>
      <c r="B4" s="19">
        <v>0.24</v>
      </c>
      <c r="C4" s="19">
        <v>0.18666666666666668</v>
      </c>
      <c r="D4" s="19">
        <v>0.50666666666666671</v>
      </c>
    </row>
    <row r="5" spans="1:4" x14ac:dyDescent="0.25">
      <c r="A5" s="29" t="s">
        <v>4</v>
      </c>
      <c r="B5" s="19">
        <v>0.29333333333333328</v>
      </c>
      <c r="C5" s="19">
        <v>9.3333333333333338E-2</v>
      </c>
      <c r="D5" s="20">
        <v>0.40000000000000008</v>
      </c>
    </row>
    <row r="6" spans="1:4" x14ac:dyDescent="0.25">
      <c r="A6" s="27" t="s">
        <v>3</v>
      </c>
      <c r="B6" s="19">
        <v>0.26666666666666666</v>
      </c>
      <c r="C6" s="19">
        <v>0.16</v>
      </c>
      <c r="D6" s="19">
        <v>0.28000000000000003</v>
      </c>
    </row>
    <row r="7" spans="1:4" x14ac:dyDescent="0.25">
      <c r="A7" s="29" t="s">
        <v>5</v>
      </c>
      <c r="B7" s="19">
        <v>0.20000000000000004</v>
      </c>
      <c r="C7" s="19">
        <v>4.0000000000000036E-2</v>
      </c>
      <c r="D7" s="20">
        <v>0.22666666666666666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Overall Summary</vt:lpstr>
      <vt:lpstr>tbl_1</vt:lpstr>
      <vt:lpstr>tbl_2</vt:lpstr>
      <vt:lpstr>tbl_3</vt:lpstr>
      <vt:lpstr>tbl_4</vt:lpstr>
      <vt:lpstr>tbl_5</vt:lpstr>
      <vt:lpstr>'Overall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Usman</dc:creator>
  <cp:lastModifiedBy>Mohammed Ferdous</cp:lastModifiedBy>
  <cp:lastPrinted>2026-03-16T18:42:40Z</cp:lastPrinted>
  <dcterms:created xsi:type="dcterms:W3CDTF">2026-03-15T15:09:42Z</dcterms:created>
  <dcterms:modified xsi:type="dcterms:W3CDTF">2026-03-30T10:59:35Z</dcterms:modified>
</cp:coreProperties>
</file>